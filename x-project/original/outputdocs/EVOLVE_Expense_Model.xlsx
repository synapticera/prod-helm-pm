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ve Summary" state="visible" r:id="rId4"/>
    <sheet sheetId="2" name="All Detail" state="visible" r:id="rId5"/>
    <sheet sheetId="3" name="Headcount Detail" state="visible" r:id="rId6"/>
    <sheet sheetId="4" name="Infrastructure Detail" state="visible" r:id="rId7"/>
    <sheet sheetId="5" name="Go-to-Market Detail" state="visible" r:id="rId8"/>
    <sheet sheetId="6" name="R&amp;D Detail" state="visible" r:id="rId9"/>
  </sheets>
  <calcPr calcId="171027"/>
</workbook>
</file>

<file path=xl/sharedStrings.xml><?xml version="1.0" encoding="utf-8"?>
<sst xmlns="http://schemas.openxmlformats.org/spreadsheetml/2006/main" count="350" uniqueCount="157">
  <si>
    <t>EVOLVE - 24 Month Expense Model</t>
  </si>
  <si>
    <t>Funding Round: Seed Extension | Target: $2.0M - $3.0M | Jan 2026 - Dec 2027</t>
  </si>
  <si>
    <t>Category</t>
  </si>
  <si>
    <t>Jan-26</t>
  </si>
  <si>
    <t>Feb-26</t>
  </si>
  <si>
    <t>Mar-26</t>
  </si>
  <si>
    <t>Apr-26</t>
  </si>
  <si>
    <t>May-26</t>
  </si>
  <si>
    <t>Jun-26</t>
  </si>
  <si>
    <t>Jul-26</t>
  </si>
  <si>
    <t>Aug-26</t>
  </si>
  <si>
    <t>Sep-26</t>
  </si>
  <si>
    <t>Oct-26</t>
  </si>
  <si>
    <t>Nov-26</t>
  </si>
  <si>
    <t>Dec-26</t>
  </si>
  <si>
    <t>Jan-27</t>
  </si>
  <si>
    <t>Feb-27</t>
  </si>
  <si>
    <t>Mar-27</t>
  </si>
  <si>
    <t>Apr-27</t>
  </si>
  <si>
    <t>May-27</t>
  </si>
  <si>
    <t>Jun-27</t>
  </si>
  <si>
    <t>Jul-27</t>
  </si>
  <si>
    <t>Aug-27</t>
  </si>
  <si>
    <t>Sep-27</t>
  </si>
  <si>
    <t>Oct-27</t>
  </si>
  <si>
    <t>Nov-27</t>
  </si>
  <si>
    <t>Dec-27</t>
  </si>
  <si>
    <t>Q1 2026</t>
  </si>
  <si>
    <t>Q2 2026</t>
  </si>
  <si>
    <t>Q3 2026</t>
  </si>
  <si>
    <t>Q4 2026</t>
  </si>
  <si>
    <t>2026 Total</t>
  </si>
  <si>
    <t>Q1 2027</t>
  </si>
  <si>
    <t>Q2 2027</t>
  </si>
  <si>
    <t>Q3 2027</t>
  </si>
  <si>
    <t>Q4 2027</t>
  </si>
  <si>
    <t>2027 Total</t>
  </si>
  <si>
    <t>Grand Total</t>
  </si>
  <si>
    <t>Team Expenses</t>
  </si>
  <si>
    <t>Infrastructure &amp; Operating</t>
  </si>
  <si>
    <t>Go-to-Market</t>
  </si>
  <si>
    <t>R&amp;D / Product Development</t>
  </si>
  <si>
    <t>TOTAL EXPENSES</t>
  </si>
  <si>
    <t>Cumulative Total Expenses</t>
  </si>
  <si>
    <t>EVOLVE - All Expense Details (24 Months)</t>
  </si>
  <si>
    <t>Category / Line Item</t>
  </si>
  <si>
    <t>TEAM EXPENSES</t>
  </si>
  <si>
    <t>Base Salaries</t>
  </si>
  <si>
    <t>Subtotal: Base Salaries</t>
  </si>
  <si>
    <t>Benefits &amp; Taxes (35%)</t>
  </si>
  <si>
    <t>Recruiting Expenses</t>
  </si>
  <si>
    <t>TOTAL TEAM EXPENSES</t>
  </si>
  <si>
    <t>Cumulative Team Expenses</t>
  </si>
  <si>
    <t>INFRASTRUCTURE &amp; OPERATING</t>
  </si>
  <si>
    <t>TOTAL INFRASTRUCTURE</t>
  </si>
  <si>
    <t>Cumulative Infrastructure</t>
  </si>
  <si>
    <t>GO-TO-MARKET</t>
  </si>
  <si>
    <t>TOTAL GO-TO-MARKET</t>
  </si>
  <si>
    <t>Cumulative Go-to-Market</t>
  </si>
  <si>
    <t>R&amp;D / PRODUCT DEVELOPMENT</t>
  </si>
  <si>
    <t>TOTAL R&amp;D</t>
  </si>
  <si>
    <t>Cumulative R&amp;D</t>
  </si>
  <si>
    <t>TOTAL ALL EXPENSES</t>
  </si>
  <si>
    <t>Cumulative All Expenses</t>
  </si>
  <si>
    <t>Role</t>
  </si>
  <si>
    <t>Annual Salary</t>
  </si>
  <si>
    <t>Start Month</t>
  </si>
  <si>
    <t>Monthly Salary</t>
  </si>
  <si>
    <t>CEO</t>
  </si>
  <si>
    <t>Product Owner</t>
  </si>
  <si>
    <t>Technical Lead</t>
  </si>
  <si>
    <t>Growth Lead</t>
  </si>
  <si>
    <t>ML Engineer</t>
  </si>
  <si>
    <t>Operations Lead</t>
  </si>
  <si>
    <t>Senior ML Engineer</t>
  </si>
  <si>
    <t>Inside Sales Lead</t>
  </si>
  <si>
    <t>Developer Advocate</t>
  </si>
  <si>
    <t>Customer Success Manager</t>
  </si>
  <si>
    <t>Enterprise Sales Lead</t>
  </si>
  <si>
    <t>Head of Customer Success</t>
  </si>
  <si>
    <t>VP Engineering</t>
  </si>
  <si>
    <t>Head of Product</t>
  </si>
  <si>
    <t>Data Scientist</t>
  </si>
  <si>
    <t>Senior Sales Rep</t>
  </si>
  <si>
    <t>Product Manager</t>
  </si>
  <si>
    <t>Senior Engineer</t>
  </si>
  <si>
    <t>Marketing Manager</t>
  </si>
  <si>
    <t>Customer Success Rep</t>
  </si>
  <si>
    <t>Part-time CFO</t>
  </si>
  <si>
    <t>Part-time Legal Counsel</t>
  </si>
  <si>
    <t>Technical Advisors (3)</t>
  </si>
  <si>
    <t>Industry Advisors (2)</t>
  </si>
  <si>
    <t/>
  </si>
  <si>
    <t>Benefits &amp; Taxes</t>
  </si>
  <si>
    <t>35%</t>
  </si>
  <si>
    <t>of base salary</t>
  </si>
  <si>
    <t>per hire</t>
  </si>
  <si>
    <t>Line Item</t>
  </si>
  <si>
    <t>Base Monthly</t>
  </si>
  <si>
    <t>Growth Rate</t>
  </si>
  <si>
    <t>Notes / Assumptions</t>
  </si>
  <si>
    <t>Cloud Infrastructure (AWS/GCP)</t>
  </si>
  <si>
    <t>Scales with user growth and data processing</t>
  </si>
  <si>
    <t>Edge LLM Development Tools</t>
  </si>
  <si>
    <t>Model training and optimization tools</t>
  </si>
  <si>
    <t>Development Tools &amp; Software</t>
  </si>
  <si>
    <t>IDEs, collaboration tools, per-seat licenses</t>
  </si>
  <si>
    <t>Security &amp; Compliance Tools</t>
  </si>
  <si>
    <t>SOC 2, penetration testing, monitoring</t>
  </si>
  <si>
    <t>Data Storage &amp; Processing</t>
  </si>
  <si>
    <t>Database, data warehouse, analytics storage</t>
  </si>
  <si>
    <t>DevOps &amp; Monitoring</t>
  </si>
  <si>
    <t>CI/CD, APM, logging, alerting tools</t>
  </si>
  <si>
    <t>Office Space &amp; Equipment</t>
  </si>
  <si>
    <t>Rent, furniture, equipment for growing team</t>
  </si>
  <si>
    <t>IT &amp; Communications</t>
  </si>
  <si>
    <t>Internet, phones, collaboration software</t>
  </si>
  <si>
    <t>Insurance &amp; Legal</t>
  </si>
  <si>
    <t>D&amp;O insurance, general liability, legal retainer</t>
  </si>
  <si>
    <t>Accounting &amp; Finance</t>
  </si>
  <si>
    <t>Bookkeeping, tax prep, financial systems</t>
  </si>
  <si>
    <t>TOTAL INFRASTRUCTURE &amp; OPERATING</t>
  </si>
  <si>
    <t>Cumulative Infrastructure &amp; Operating</t>
  </si>
  <si>
    <t>Content Marketing &amp; SEO</t>
  </si>
  <si>
    <t>Blog, SEO tools, content creation</t>
  </si>
  <si>
    <t>Paid Advertising (Google, LinkedIn)</t>
  </si>
  <si>
    <t>Scales with customer acquisition goals</t>
  </si>
  <si>
    <t>Marketing Automation Tools</t>
  </si>
  <si>
    <t>Email, CRM, marketing ops platforms</t>
  </si>
  <si>
    <t>Design Partner Program</t>
  </si>
  <si>
    <t>Incentives, support for early adopters</t>
  </si>
  <si>
    <t>Community Building &amp; Events</t>
  </si>
  <si>
    <t>Meetups, conferences, community management</t>
  </si>
  <si>
    <t>Website &amp; Landing Pages</t>
  </si>
  <si>
    <t>Hosting, CMS, optimization tools</t>
  </si>
  <si>
    <t>Sales Tools (CRM, etc)</t>
  </si>
  <si>
    <t>Salesforce, outreach tools, data enrichment</t>
  </si>
  <si>
    <t>Customer Success Tools</t>
  </si>
  <si>
    <t>CS platforms, onboarding, support tools</t>
  </si>
  <si>
    <t>Marketing Contractors/Agencies</t>
  </si>
  <si>
    <t>Specialized marketing support</t>
  </si>
  <si>
    <t>PR &amp; Communications</t>
  </si>
  <si>
    <t>PR agency, media relations, press releases</t>
  </si>
  <si>
    <t>AI/ML Model Training Compute</t>
  </si>
  <si>
    <t>GPU compute for model development and testing</t>
  </si>
  <si>
    <t>Research Tools &amp; Subscriptions</t>
  </si>
  <si>
    <t>Academic journals, research databases, APIs</t>
  </si>
  <si>
    <t>User Research &amp; Testing</t>
  </si>
  <si>
    <t>User interviews, usability testing, research tools</t>
  </si>
  <si>
    <t>Product Analytics Tools</t>
  </si>
  <si>
    <t>Analytics platforms, session replay, heatmaps</t>
  </si>
  <si>
    <t>API &amp; Integration Costs</t>
  </si>
  <si>
    <t>Third-party APIs, integration platform fees</t>
  </si>
  <si>
    <t>Prototyping &amp; Design Tools</t>
  </si>
  <si>
    <t>Design software, prototyping tools, user testing</t>
  </si>
  <si>
    <t>TOTAL R&amp;D / PRODUCT DEVELOPMENT</t>
  </si>
  <si>
    <t>Cumulative R&amp;D / Product Development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</si>
</sst>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$#,##0"/>
    <numFmt numFmtId="165" formatCode="0.0%"/>
  </numFmts>
  <fonts count="13" x14ac:knownFonts="1">
    <font>
      <color theme="1"/>
      <family val="2"/>
      <scheme val="minor"/>
      <sz val="11"/>
      <name val="Calibri"/>
    </font>
    <font>
      <b/>
      <sz val="16"/>
    </font>
    <font>
      <sz val="11"/>
    </font>
    <font>
      <b/>
      <color rgb="FFFFFFFF"/>
    </font>
    <font>
      <b/>
    </font>
    <font>
      <b/>
      <sz val="12"/>
    </font>
    <font>
      <b/>
      <i/>
    </font>
    <font>
      <i/>
    </font>
    <font>
      <b/>
      <sz val="14"/>
    </font>
    <font>
      <b/>
      <color rgb="FFFFFFFF"/>
      <sz val="12"/>
    </font>
    <font>
      <b/>
      <color rgb="FFFF0000"/>
    </font>
    <font>
      <i/>
      <sz val="9"/>
    </font>
    <font>
      <color rgb="FFFF0000"/>
    </font>
  </fonts>
  <fills count="18">
    <fill>
      <patternFill patternType="none"/>
    </fill>
    <fill>
      <patternFill patternType="gray125"/>
    </fill>
    <fill>
      <patternFill patternType="solid">
        <fgColor rgb="FF203864"/>
      </patternFill>
    </fill>
    <fill>
      <patternFill patternType="solid">
        <fgColor rgb="FF4472C4"/>
      </patternFill>
    </fill>
    <fill>
      <patternFill patternType="solid">
        <fgColor rgb="FFE7E6E6"/>
      </patternFill>
    </fill>
    <fill>
      <patternFill patternType="solid">
        <fgColor rgb="FFFFEFD5"/>
      </patternFill>
    </fill>
    <fill>
      <patternFill patternType="solid">
        <fgColor rgb="FFFFD700"/>
      </patternFill>
    </fill>
    <fill>
      <patternFill patternType="solid">
        <fgColor rgb="FF70AD47"/>
      </patternFill>
    </fill>
    <fill>
      <patternFill patternType="solid">
        <fgColor rgb="FFD9F2D9"/>
      </patternFill>
    </fill>
    <fill>
      <patternFill patternType="solid">
        <fgColor rgb="FF92D050"/>
      </patternFill>
    </fill>
    <fill>
      <patternFill patternType="solid">
        <fgColor rgb="FFFFC000"/>
      </patternFill>
    </fill>
    <fill>
      <patternFill patternType="solid">
        <fgColor rgb="FFFFD966"/>
      </patternFill>
    </fill>
    <fill>
      <patternFill patternType="solid">
        <fgColor rgb="FF5B9BD5"/>
      </patternFill>
    </fill>
    <fill>
      <patternFill patternType="solid">
        <fgColor rgb="FF9BC2E6"/>
      </patternFill>
    </fill>
    <fill>
      <patternFill patternType="solid">
        <fgColor rgb="FF9966FF"/>
      </patternFill>
    </fill>
    <fill>
      <patternFill patternType="solid">
        <fgColor rgb="FFC299FF"/>
      </patternFill>
    </fill>
    <fill>
      <patternFill patternType="solid">
        <fgColor rgb="FFFFE699"/>
      </patternFill>
    </fill>
    <fill>
      <patternFill patternType="solid">
        <fgColor rgb="FFB4C7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3" fillId="2" borderId="0" xfId="0" applyFont="1" applyFill="1" applyAlignment="1">
      <alignment horizontal="center"/>
    </xf>
    <xf numFmtId="0" fontId="3" fillId="3" borderId="0" xfId="0" applyFont="1" applyFill="1" applyAlignment="1">
      <alignment horizontal="center" wrapText="1"/>
    </xf>
    <xf numFmtId="0" fontId="4" fillId="0" borderId="0" xfId="0" applyFont="1"/>
    <xf numFmtId="164" fontId="0" fillId="0" borderId="0" xfId="0" applyNumberFormat="1"/>
    <xf numFmtId="0" fontId="5" fillId="0" borderId="0" xfId="0" applyFont="1"/>
    <xf numFmtId="164" fontId="4" fillId="4" borderId="0" xfId="0" applyNumberFormat="1" applyFont="1" applyFill="1"/>
    <xf numFmtId="0" fontId="6" fillId="5" borderId="0" xfId="0" applyFont="1" applyFill="1"/>
    <xf numFmtId="164" fontId="7" fillId="5" borderId="0" xfId="0" applyNumberFormat="1" applyFont="1" applyFill="1"/>
    <xf numFmtId="164" fontId="6" fillId="6" borderId="0" xfId="0" applyNumberFormat="1" applyFont="1" applyFill="1"/>
    <xf numFmtId="0" fontId="8" fillId="0" borderId="0" xfId="0" applyFont="1"/>
    <xf numFmtId="0" fontId="5" fillId="7" borderId="0" xfId="0" applyFont="1" applyFill="1"/>
    <xf numFmtId="164" fontId="4" fillId="8" borderId="0" xfId="0" applyNumberFormat="1" applyFont="1" applyFill="1"/>
    <xf numFmtId="0" fontId="4" fillId="9" borderId="0" xfId="0" applyFont="1" applyFill="1"/>
    <xf numFmtId="164" fontId="4" fillId="9" borderId="0" xfId="0" applyNumberFormat="1" applyFont="1" applyFill="1"/>
    <xf numFmtId="0" fontId="6" fillId="0" borderId="0" xfId="0" applyFont="1"/>
    <xf numFmtId="0" fontId="5" fillId="10" borderId="0" xfId="0" applyFont="1" applyFill="1"/>
    <xf numFmtId="0" fontId="4" fillId="11" borderId="0" xfId="0" applyFont="1" applyFill="1"/>
    <xf numFmtId="164" fontId="4" fillId="11" borderId="0" xfId="0" applyNumberFormat="1" applyFont="1" applyFill="1"/>
    <xf numFmtId="0" fontId="5" fillId="12" borderId="0" xfId="0" applyFont="1" applyFill="1"/>
    <xf numFmtId="0" fontId="4" fillId="13" borderId="0" xfId="0" applyFont="1" applyFill="1"/>
    <xf numFmtId="164" fontId="4" fillId="13" borderId="0" xfId="0" applyNumberFormat="1" applyFont="1" applyFill="1"/>
    <xf numFmtId="0" fontId="5" fillId="14" borderId="0" xfId="0" applyFont="1" applyFill="1"/>
    <xf numFmtId="0" fontId="4" fillId="15" borderId="0" xfId="0" applyFont="1" applyFill="1"/>
    <xf numFmtId="164" fontId="4" fillId="15" borderId="0" xfId="0" applyNumberFormat="1" applyFont="1" applyFill="1"/>
    <xf numFmtId="0" fontId="9" fillId="2" borderId="0" xfId="0" applyFont="1" applyFill="1"/>
    <xf numFmtId="164" fontId="3" fillId="2" borderId="0" xfId="0" applyNumberFormat="1" applyFont="1" applyFill="1"/>
    <xf numFmtId="0" fontId="3" fillId="7" borderId="0" xfId="0" applyFont="1" applyFill="1" applyAlignment="1">
      <alignment horizontal="center"/>
    </xf>
    <xf numFmtId="164" fontId="4" fillId="16" borderId="0" xfId="0" applyNumberFormat="1" applyFont="1" applyFill="1"/>
    <xf numFmtId="164" fontId="4" fillId="10" borderId="0" xfId="0" applyNumberFormat="1" applyFont="1" applyFill="1"/>
    <xf numFmtId="164" fontId="4" fillId="0" borderId="0" xfId="0" applyNumberFormat="1" applyFont="1"/>
    <xf numFmtId="0" fontId="10" fillId="0" borderId="0" xfId="0" applyFont="1" applyAlignment="1">
      <alignment horizontal="center"/>
    </xf>
    <xf numFmtId="0" fontId="11" fillId="0" borderId="0" xfId="0" applyFont="1"/>
    <xf numFmtId="164" fontId="10" fillId="0" borderId="0" xfId="0" applyNumberFormat="1" applyFont="1"/>
    <xf numFmtId="164" fontId="12" fillId="0" borderId="0" xfId="0" applyNumberFormat="1" applyFont="1"/>
    <xf numFmtId="165" fontId="12" fillId="0" borderId="0" xfId="0" applyNumberFormat="1" applyFont="1"/>
    <xf numFmtId="0" fontId="11" fillId="0" borderId="0" xfId="0" applyFont="1" applyAlignment="1">
      <alignment wrapText="1"/>
    </xf>
    <xf numFmtId="164" fontId="4" fillId="17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10"/>
  <sheetFormatPr defaultRowHeight="15" outlineLevelRow="0" outlineLevelCol="0" x14ac:dyDescent="55"/>
  <cols>
    <col min="1" max="1" width="30" customWidth="1"/>
    <col min="2" max="13" width="11" customWidth="1"/>
    <col min="14" max="25" width="11" outlineLevel="1" collapsed="1" customWidth="1"/>
    <col min="26" max="36" width="11" customWidth="1"/>
  </cols>
  <sheetData>
    <row r="1" spans="1:5" x14ac:dyDescent="0.25">
      <c r="A1" s="1" t="s">
        <v>0</v>
      </c>
      <c r="B1" s="1"/>
      <c r="C1" s="1"/>
      <c r="D1" s="1"/>
      <c r="E1" s="1"/>
    </row>
    <row r="2" spans="1:5" x14ac:dyDescent="0.25">
      <c r="A2" s="2" t="s">
        <v>1</v>
      </c>
      <c r="B2" s="2"/>
      <c r="C2" s="2"/>
      <c r="D2" s="2"/>
      <c r="E2" s="2"/>
    </row>
    <row r="4" spans="1:36" x14ac:dyDescent="0.25">
      <c r="A4" s="3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  <c r="L4" s="4" t="s">
        <v>13</v>
      </c>
      <c r="M4" s="4" t="s">
        <v>14</v>
      </c>
      <c r="N4" s="4" t="s">
        <v>15</v>
      </c>
      <c r="O4" s="4" t="s">
        <v>16</v>
      </c>
      <c r="P4" s="4" t="s">
        <v>17</v>
      </c>
      <c r="Q4" s="4" t="s">
        <v>18</v>
      </c>
      <c r="R4" s="4" t="s">
        <v>19</v>
      </c>
      <c r="S4" s="4" t="s">
        <v>20</v>
      </c>
      <c r="T4" s="4" t="s">
        <v>21</v>
      </c>
      <c r="U4" s="4" t="s">
        <v>22</v>
      </c>
      <c r="V4" s="4" t="s">
        <v>23</v>
      </c>
      <c r="W4" s="4" t="s">
        <v>24</v>
      </c>
      <c r="X4" s="4" t="s">
        <v>25</v>
      </c>
      <c r="Y4" s="4" t="s">
        <v>26</v>
      </c>
      <c r="Z4" s="5" t="s">
        <v>27</v>
      </c>
      <c r="AA4" s="5" t="s">
        <v>28</v>
      </c>
      <c r="AB4" s="5" t="s">
        <v>29</v>
      </c>
      <c r="AC4" s="5" t="s">
        <v>30</v>
      </c>
      <c r="AD4" s="5" t="s">
        <v>31</v>
      </c>
      <c r="AE4" s="5" t="s">
        <v>32</v>
      </c>
      <c r="AF4" s="5" t="s">
        <v>33</v>
      </c>
      <c r="AG4" s="5" t="s">
        <v>34</v>
      </c>
      <c r="AH4" s="5" t="s">
        <v>35</v>
      </c>
      <c r="AI4" s="5" t="s">
        <v>36</v>
      </c>
      <c r="AJ4" s="5" t="s">
        <v>37</v>
      </c>
    </row>
    <row r="5" spans="1:36" x14ac:dyDescent="0.25">
      <c r="A5" s="6" t="s">
        <v>38</v>
      </c>
      <c r="B5" s="7">
        <f>'Headcount Detail'!E29</f>
      </c>
      <c r="C5" s="7">
        <f>'Headcount Detail'!F29</f>
      </c>
      <c r="D5" s="7">
        <f>'Headcount Detail'!G29</f>
      </c>
      <c r="E5" s="7">
        <f>'Headcount Detail'!H29</f>
      </c>
      <c r="F5" s="7">
        <f>'Headcount Detail'!I29</f>
      </c>
      <c r="G5" s="7">
        <f>'Headcount Detail'!J29</f>
      </c>
      <c r="H5" s="7">
        <f>'Headcount Detail'!K29</f>
      </c>
      <c r="I5" s="7">
        <f>'Headcount Detail'!L29</f>
      </c>
      <c r="J5" s="7">
        <f>'Headcount Detail'!M29</f>
      </c>
      <c r="K5" s="7">
        <f>'Headcount Detail'!N29</f>
      </c>
      <c r="L5" s="7">
        <f>'Headcount Detail'!O29</f>
      </c>
      <c r="M5" s="7">
        <f>'Headcount Detail'!P29</f>
      </c>
      <c r="N5" s="7">
        <f>'Headcount Detail'!Q29</f>
      </c>
      <c r="O5" s="7">
        <f>'Headcount Detail'!R29</f>
      </c>
      <c r="P5" s="7">
        <f>'Headcount Detail'!S29</f>
      </c>
      <c r="Q5" s="7">
        <f>'Headcount Detail'!T29</f>
      </c>
      <c r="R5" s="7">
        <f>'Headcount Detail'!U29</f>
      </c>
      <c r="S5" s="7">
        <f>'Headcount Detail'!V29</f>
      </c>
      <c r="T5" s="7">
        <f>'Headcount Detail'!W29</f>
      </c>
      <c r="U5" s="7">
        <f>'Headcount Detail'!X29</f>
      </c>
      <c r="V5" s="7">
        <f>'Headcount Detail'!Y29</f>
      </c>
      <c r="W5" s="7">
        <f>'Headcount Detail'!Z29</f>
      </c>
      <c r="X5" s="7">
        <f>'Headcount Detail'!AA29</f>
      </c>
      <c r="Y5" s="7">
        <f>'Headcount Detail'!AB29</f>
      </c>
      <c r="Z5" s="7">
        <f>'Headcount Detail'!AC29</f>
      </c>
      <c r="AA5" s="7">
        <f>'Headcount Detail'!AD29</f>
      </c>
      <c r="AB5" s="7">
        <f>'Headcount Detail'!AE29</f>
      </c>
      <c r="AC5" s="7">
        <f>'Headcount Detail'!AF29</f>
      </c>
      <c r="AD5" s="7">
        <f>'Headcount Detail'!AG29</f>
      </c>
      <c r="AE5" s="7">
        <f>'Headcount Detail'!AH29</f>
      </c>
      <c r="AF5" s="7">
        <f>'Headcount Detail'!AI29</f>
      </c>
      <c r="AG5" s="7">
        <f>'Headcount Detail'!AJ29</f>
      </c>
      <c r="AH5" s="7">
        <f>'Headcount Detail'!AK29</f>
      </c>
      <c r="AI5" s="7">
        <f>'Headcount Detail'!AL29</f>
      </c>
      <c r="AJ5" s="7">
        <f>'Headcount Detail'!AM29</f>
      </c>
    </row>
    <row r="6" spans="1:36" x14ac:dyDescent="0.25">
      <c r="A6" s="6" t="s">
        <v>39</v>
      </c>
      <c r="B6" s="7">
        <f>'Infrastructure Detail'!E14</f>
      </c>
      <c r="C6" s="7">
        <f>'Infrastructure Detail'!F14</f>
      </c>
      <c r="D6" s="7">
        <f>'Infrastructure Detail'!G14</f>
      </c>
      <c r="E6" s="7">
        <f>'Infrastructure Detail'!H14</f>
      </c>
      <c r="F6" s="7">
        <f>'Infrastructure Detail'!I14</f>
      </c>
      <c r="G6" s="7">
        <f>'Infrastructure Detail'!J14</f>
      </c>
      <c r="H6" s="7">
        <f>'Infrastructure Detail'!K14</f>
      </c>
      <c r="I6" s="7">
        <f>'Infrastructure Detail'!L14</f>
      </c>
      <c r="J6" s="7">
        <f>'Infrastructure Detail'!M14</f>
      </c>
      <c r="K6" s="7">
        <f>'Infrastructure Detail'!N14</f>
      </c>
      <c r="L6" s="7">
        <f>'Infrastructure Detail'!O14</f>
      </c>
      <c r="M6" s="7">
        <f>'Infrastructure Detail'!P14</f>
      </c>
      <c r="N6" s="7">
        <f>'Infrastructure Detail'!Q14</f>
      </c>
      <c r="O6" s="7">
        <f>'Infrastructure Detail'!R14</f>
      </c>
      <c r="P6" s="7">
        <f>'Infrastructure Detail'!S14</f>
      </c>
      <c r="Q6" s="7">
        <f>'Infrastructure Detail'!T14</f>
      </c>
      <c r="R6" s="7">
        <f>'Infrastructure Detail'!U14</f>
      </c>
      <c r="S6" s="7">
        <f>'Infrastructure Detail'!V14</f>
      </c>
      <c r="T6" s="7">
        <f>'Infrastructure Detail'!W14</f>
      </c>
      <c r="U6" s="7">
        <f>'Infrastructure Detail'!X14</f>
      </c>
      <c r="V6" s="7">
        <f>'Infrastructure Detail'!Y14</f>
      </c>
      <c r="W6" s="7">
        <f>'Infrastructure Detail'!Z14</f>
      </c>
      <c r="X6" s="7">
        <f>'Infrastructure Detail'!AA14</f>
      </c>
      <c r="Y6" s="7">
        <f>'Infrastructure Detail'!AB14</f>
      </c>
      <c r="Z6" s="7">
        <f>'Infrastructure Detail'!AC14</f>
      </c>
      <c r="AA6" s="7">
        <f>'Infrastructure Detail'!AD14</f>
      </c>
      <c r="AB6" s="7">
        <f>'Infrastructure Detail'!AE14</f>
      </c>
      <c r="AC6" s="7">
        <f>'Infrastructure Detail'!AF14</f>
      </c>
      <c r="AD6" s="7">
        <f>'Infrastructure Detail'!AG14</f>
      </c>
      <c r="AE6" s="7">
        <f>'Infrastructure Detail'!AH14</f>
      </c>
      <c r="AF6" s="7">
        <f>'Infrastructure Detail'!AI14</f>
      </c>
      <c r="AG6" s="7">
        <f>'Infrastructure Detail'!AJ14</f>
      </c>
      <c r="AH6" s="7">
        <f>'Infrastructure Detail'!AK14</f>
      </c>
      <c r="AI6" s="7">
        <f>'Infrastructure Detail'!AL14</f>
      </c>
      <c r="AJ6" s="7">
        <f>'Infrastructure Detail'!AM14</f>
      </c>
    </row>
    <row r="7" spans="1:36" x14ac:dyDescent="0.25">
      <c r="A7" s="6" t="s">
        <v>40</v>
      </c>
      <c r="B7" s="7">
        <f>'Go-to-Market Detail'!E14</f>
      </c>
      <c r="C7" s="7">
        <f>'Go-to-Market Detail'!F14</f>
      </c>
      <c r="D7" s="7">
        <f>'Go-to-Market Detail'!G14</f>
      </c>
      <c r="E7" s="7">
        <f>'Go-to-Market Detail'!H14</f>
      </c>
      <c r="F7" s="7">
        <f>'Go-to-Market Detail'!I14</f>
      </c>
      <c r="G7" s="7">
        <f>'Go-to-Market Detail'!J14</f>
      </c>
      <c r="H7" s="7">
        <f>'Go-to-Market Detail'!K14</f>
      </c>
      <c r="I7" s="7">
        <f>'Go-to-Market Detail'!L14</f>
      </c>
      <c r="J7" s="7">
        <f>'Go-to-Market Detail'!M14</f>
      </c>
      <c r="K7" s="7">
        <f>'Go-to-Market Detail'!N14</f>
      </c>
      <c r="L7" s="7">
        <f>'Go-to-Market Detail'!O14</f>
      </c>
      <c r="M7" s="7">
        <f>'Go-to-Market Detail'!P14</f>
      </c>
      <c r="N7" s="7">
        <f>'Go-to-Market Detail'!Q14</f>
      </c>
      <c r="O7" s="7">
        <f>'Go-to-Market Detail'!R14</f>
      </c>
      <c r="P7" s="7">
        <f>'Go-to-Market Detail'!S14</f>
      </c>
      <c r="Q7" s="7">
        <f>'Go-to-Market Detail'!T14</f>
      </c>
      <c r="R7" s="7">
        <f>'Go-to-Market Detail'!U14</f>
      </c>
      <c r="S7" s="7">
        <f>'Go-to-Market Detail'!V14</f>
      </c>
      <c r="T7" s="7">
        <f>'Go-to-Market Detail'!W14</f>
      </c>
      <c r="U7" s="7">
        <f>'Go-to-Market Detail'!X14</f>
      </c>
      <c r="V7" s="7">
        <f>'Go-to-Market Detail'!Y14</f>
      </c>
      <c r="W7" s="7">
        <f>'Go-to-Market Detail'!Z14</f>
      </c>
      <c r="X7" s="7">
        <f>'Go-to-Market Detail'!AA14</f>
      </c>
      <c r="Y7" s="7">
        <f>'Go-to-Market Detail'!AB14</f>
      </c>
      <c r="Z7" s="7">
        <f>'Go-to-Market Detail'!AC14</f>
      </c>
      <c r="AA7" s="7">
        <f>'Go-to-Market Detail'!AD14</f>
      </c>
      <c r="AB7" s="7">
        <f>'Go-to-Market Detail'!AE14</f>
      </c>
      <c r="AC7" s="7">
        <f>'Go-to-Market Detail'!AF14</f>
      </c>
      <c r="AD7" s="7">
        <f>'Go-to-Market Detail'!AG14</f>
      </c>
      <c r="AE7" s="7">
        <f>'Go-to-Market Detail'!AH14</f>
      </c>
      <c r="AF7" s="7">
        <f>'Go-to-Market Detail'!AI14</f>
      </c>
      <c r="AG7" s="7">
        <f>'Go-to-Market Detail'!AJ14</f>
      </c>
      <c r="AH7" s="7">
        <f>'Go-to-Market Detail'!AK14</f>
      </c>
      <c r="AI7" s="7">
        <f>'Go-to-Market Detail'!AL14</f>
      </c>
      <c r="AJ7" s="7">
        <f>'Go-to-Market Detail'!AM14</f>
      </c>
    </row>
    <row r="8" spans="1:36" x14ac:dyDescent="0.25">
      <c r="A8" s="6" t="s">
        <v>41</v>
      </c>
      <c r="B8" s="7">
        <f>'R&amp;D Detail'!E10</f>
      </c>
      <c r="C8" s="7">
        <f>'R&amp;D Detail'!F10</f>
      </c>
      <c r="D8" s="7">
        <f>'R&amp;D Detail'!G10</f>
      </c>
      <c r="E8" s="7">
        <f>'R&amp;D Detail'!H10</f>
      </c>
      <c r="F8" s="7">
        <f>'R&amp;D Detail'!I10</f>
      </c>
      <c r="G8" s="7">
        <f>'R&amp;D Detail'!J10</f>
      </c>
      <c r="H8" s="7">
        <f>'R&amp;D Detail'!K10</f>
      </c>
      <c r="I8" s="7">
        <f>'R&amp;D Detail'!L10</f>
      </c>
      <c r="J8" s="7">
        <f>'R&amp;D Detail'!M10</f>
      </c>
      <c r="K8" s="7">
        <f>'R&amp;D Detail'!N10</f>
      </c>
      <c r="L8" s="7">
        <f>'R&amp;D Detail'!O10</f>
      </c>
      <c r="M8" s="7">
        <f>'R&amp;D Detail'!P10</f>
      </c>
      <c r="N8" s="7">
        <f>'R&amp;D Detail'!Q10</f>
      </c>
      <c r="O8" s="7">
        <f>'R&amp;D Detail'!R10</f>
      </c>
      <c r="P8" s="7">
        <f>'R&amp;D Detail'!S10</f>
      </c>
      <c r="Q8" s="7">
        <f>'R&amp;D Detail'!T10</f>
      </c>
      <c r="R8" s="7">
        <f>'R&amp;D Detail'!U10</f>
      </c>
      <c r="S8" s="7">
        <f>'R&amp;D Detail'!V10</f>
      </c>
      <c r="T8" s="7">
        <f>'R&amp;D Detail'!W10</f>
      </c>
      <c r="U8" s="7">
        <f>'R&amp;D Detail'!X10</f>
      </c>
      <c r="V8" s="7">
        <f>'R&amp;D Detail'!Y10</f>
      </c>
      <c r="W8" s="7">
        <f>'R&amp;D Detail'!Z10</f>
      </c>
      <c r="X8" s="7">
        <f>'R&amp;D Detail'!AA10</f>
      </c>
      <c r="Y8" s="7">
        <f>'R&amp;D Detail'!AB10</f>
      </c>
      <c r="Z8" s="7">
        <f>'R&amp;D Detail'!AC10</f>
      </c>
      <c r="AA8" s="7">
        <f>'R&amp;D Detail'!AD10</f>
      </c>
      <c r="AB8" s="7">
        <f>'R&amp;D Detail'!AE10</f>
      </c>
      <c r="AC8" s="7">
        <f>'R&amp;D Detail'!AF10</f>
      </c>
      <c r="AD8" s="7">
        <f>'R&amp;D Detail'!AG10</f>
      </c>
      <c r="AE8" s="7">
        <f>'R&amp;D Detail'!AH10</f>
      </c>
      <c r="AF8" s="7">
        <f>'R&amp;D Detail'!AI10</f>
      </c>
      <c r="AG8" s="7">
        <f>'R&amp;D Detail'!AJ10</f>
      </c>
      <c r="AH8" s="7">
        <f>'R&amp;D Detail'!AK10</f>
      </c>
      <c r="AI8" s="7">
        <f>'R&amp;D Detail'!AL10</f>
      </c>
      <c r="AJ8" s="7">
        <f>'R&amp;D Detail'!AM10</f>
      </c>
    </row>
    <row r="9" spans="1:36" x14ac:dyDescent="0.25">
      <c r="A9" s="8" t="s">
        <v>42</v>
      </c>
      <c r="B9" s="9">
        <f>SUM(B5:B8)</f>
      </c>
      <c r="C9" s="9">
        <f>SUM(C5:C8)</f>
      </c>
      <c r="D9" s="9">
        <f>SUM(D5:D8)</f>
      </c>
      <c r="E9" s="9">
        <f>SUM(E5:E8)</f>
      </c>
      <c r="F9" s="9">
        <f>SUM(F5:F8)</f>
      </c>
      <c r="G9" s="9">
        <f>SUM(G5:G8)</f>
      </c>
      <c r="H9" s="9">
        <f>SUM(H5:H8)</f>
      </c>
      <c r="I9" s="9">
        <f>SUM(I5:I8)</f>
      </c>
      <c r="J9" s="9">
        <f>SUM(J5:J8)</f>
      </c>
      <c r="K9" s="9">
        <f>SUM(K5:K8)</f>
      </c>
      <c r="L9" s="9">
        <f>SUM(L5:L8)</f>
      </c>
      <c r="M9" s="9">
        <f>SUM(M5:M8)</f>
      </c>
      <c r="N9" s="9">
        <f>SUM(N5:N8)</f>
      </c>
      <c r="O9" s="9">
        <f>SUM(O5:O8)</f>
      </c>
      <c r="P9" s="9">
        <f>SUM(P5:P8)</f>
      </c>
      <c r="Q9" s="9">
        <f>SUM(Q5:Q8)</f>
      </c>
      <c r="R9" s="9">
        <f>SUM(R5:R8)</f>
      </c>
      <c r="S9" s="9">
        <f>SUM(S5:S8)</f>
      </c>
      <c r="T9" s="9">
        <f>SUM(T5:T8)</f>
      </c>
      <c r="U9" s="9">
        <f>SUM(U5:U8)</f>
      </c>
      <c r="V9" s="9">
        <f>SUM(V5:V8)</f>
      </c>
      <c r="W9" s="9">
        <f>SUM(W5:W8)</f>
      </c>
      <c r="X9" s="9">
        <f>SUM(X5:X8)</f>
      </c>
      <c r="Y9" s="9">
        <f>SUM(Y5:Y8)</f>
      </c>
      <c r="Z9" s="9">
        <f>SUM(Z5:Z8)</f>
      </c>
      <c r="AA9" s="9">
        <f>SUM(AA5:AA8)</f>
      </c>
      <c r="AB9" s="9">
        <f>SUM(AB5:AB8)</f>
      </c>
      <c r="AC9" s="9">
        <f>SUM(AC5:AC8)</f>
      </c>
      <c r="AD9" s="9">
        <f>SUM(AD5:AD8)</f>
      </c>
      <c r="AE9" s="9">
        <f>SUM(AE5:AE8)</f>
      </c>
      <c r="AF9" s="9">
        <f>SUM(AF5:AF8)</f>
      </c>
      <c r="AG9" s="9">
        <f>SUM(AG5:AG8)</f>
      </c>
      <c r="AH9" s="9">
        <f>SUM(AH5:AH8)</f>
      </c>
      <c r="AI9" s="9">
        <f>SUM(AI5:AI8)</f>
      </c>
      <c r="AJ9" s="9">
        <f>SUM(AJ5:AJ8)</f>
      </c>
    </row>
    <row r="10" spans="1:36" x14ac:dyDescent="0.25">
      <c r="A10" s="10" t="s">
        <v>43</v>
      </c>
      <c r="B10" s="11">
        <f>B9</f>
      </c>
      <c r="C10" s="11">
        <f>B10+C9</f>
      </c>
      <c r="D10" s="11">
        <f>C10+D9</f>
      </c>
      <c r="E10" s="11">
        <f>D10+E9</f>
      </c>
      <c r="F10" s="11">
        <f>E10+F9</f>
      </c>
      <c r="G10" s="11">
        <f>F10+G9</f>
      </c>
      <c r="H10" s="11">
        <f>G10+H9</f>
      </c>
      <c r="I10" s="11">
        <f>H10+I9</f>
      </c>
      <c r="J10" s="11">
        <f>I10+J9</f>
      </c>
      <c r="K10" s="11">
        <f>J10+K9</f>
      </c>
      <c r="L10" s="11">
        <f>K10+L9</f>
      </c>
      <c r="M10" s="11">
        <f>L10+M9</f>
      </c>
      <c r="N10" s="11">
        <f>M10+N9</f>
      </c>
      <c r="O10" s="11">
        <f>N10+O9</f>
      </c>
      <c r="P10" s="11">
        <f>O10+P9</f>
      </c>
      <c r="Q10" s="11">
        <f>P10+Q9</f>
      </c>
      <c r="R10" s="11">
        <f>Q10+R9</f>
      </c>
      <c r="S10" s="11">
        <f>R10+S9</f>
      </c>
      <c r="T10" s="11">
        <f>S10+T9</f>
      </c>
      <c r="U10" s="11">
        <f>T10+U9</f>
      </c>
      <c r="V10" s="11">
        <f>U10+V9</f>
      </c>
      <c r="W10" s="11">
        <f>V10+W9</f>
      </c>
      <c r="X10" s="11">
        <f>W10+X9</f>
      </c>
      <c r="Y10" s="11">
        <f>X10+Y9</f>
      </c>
      <c r="Z10" s="11">
        <f>D10</f>
      </c>
      <c r="AA10" s="11">
        <f>G10</f>
      </c>
      <c r="AB10" s="11">
        <f>J10</f>
      </c>
      <c r="AC10" s="11">
        <f>M10</f>
      </c>
      <c r="AD10" s="12">
        <f>AC10</f>
      </c>
      <c r="AE10" s="11">
        <f>P10</f>
      </c>
      <c r="AF10" s="11">
        <f>S10</f>
      </c>
      <c r="AG10" s="11">
        <f>V10</f>
      </c>
      <c r="AH10" s="11">
        <f>Y10</f>
      </c>
      <c r="AI10" s="12">
        <f>AH10</f>
      </c>
      <c r="AJ10" s="12">
        <f>Y10</f>
      </c>
    </row>
  </sheetData>
  <mergeCells count="2">
    <mergeCell ref="A1:E1"/>
    <mergeCell ref="A2:E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75"/>
  <sheetFormatPr defaultRowHeight="15" outlineLevelRow="0" outlineLevelCol="0" x14ac:dyDescent="55"/>
  <cols>
    <col min="1" max="1" width="40" customWidth="1"/>
    <col min="2" max="13" width="11" customWidth="1"/>
    <col min="14" max="25" width="11" outlineLevel="1" collapsed="1" customWidth="1"/>
    <col min="26" max="36" width="11" customWidth="1"/>
  </cols>
  <sheetData>
    <row r="1" spans="1:1" x14ac:dyDescent="0.25">
      <c r="A1" s="13" t="s">
        <v>44</v>
      </c>
    </row>
    <row r="3" spans="1:36" x14ac:dyDescent="0.25">
      <c r="A3" s="3" t="s">
        <v>45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4" t="s">
        <v>9</v>
      </c>
      <c r="I3" s="4" t="s">
        <v>10</v>
      </c>
      <c r="J3" s="4" t="s">
        <v>11</v>
      </c>
      <c r="K3" s="4" t="s">
        <v>12</v>
      </c>
      <c r="L3" s="4" t="s">
        <v>13</v>
      </c>
      <c r="M3" s="4" t="s">
        <v>14</v>
      </c>
      <c r="N3" s="4" t="s">
        <v>15</v>
      </c>
      <c r="O3" s="4" t="s">
        <v>16</v>
      </c>
      <c r="P3" s="4" t="s">
        <v>17</v>
      </c>
      <c r="Q3" s="4" t="s">
        <v>18</v>
      </c>
      <c r="R3" s="4" t="s">
        <v>19</v>
      </c>
      <c r="S3" s="4" t="s">
        <v>20</v>
      </c>
      <c r="T3" s="4" t="s">
        <v>21</v>
      </c>
      <c r="U3" s="4" t="s">
        <v>22</v>
      </c>
      <c r="V3" s="4" t="s">
        <v>23</v>
      </c>
      <c r="W3" s="4" t="s">
        <v>24</v>
      </c>
      <c r="X3" s="4" t="s">
        <v>25</v>
      </c>
      <c r="Y3" s="4" t="s">
        <v>26</v>
      </c>
      <c r="Z3" s="5" t="s">
        <v>27</v>
      </c>
      <c r="AA3" s="5" t="s">
        <v>28</v>
      </c>
      <c r="AB3" s="5" t="s">
        <v>29</v>
      </c>
      <c r="AC3" s="5" t="s">
        <v>30</v>
      </c>
      <c r="AD3" s="5" t="s">
        <v>31</v>
      </c>
      <c r="AE3" s="5" t="s">
        <v>32</v>
      </c>
      <c r="AF3" s="5" t="s">
        <v>33</v>
      </c>
      <c r="AG3" s="5" t="s">
        <v>34</v>
      </c>
      <c r="AH3" s="5" t="s">
        <v>35</v>
      </c>
      <c r="AI3" s="5" t="s">
        <v>36</v>
      </c>
      <c r="AJ3" s="5" t="s">
        <v>37</v>
      </c>
    </row>
    <row r="4" spans="1:1" x14ac:dyDescent="0.25">
      <c r="A4" s="14" t="s">
        <v>46</v>
      </c>
    </row>
    <row r="5" spans="1:1" x14ac:dyDescent="0.25" outlineLevel="1" collapsed="1">
      <c r="A5" s="6" t="s">
        <v>47</v>
      </c>
    </row>
    <row r="6" spans="1:36" x14ac:dyDescent="0.25" outlineLevel="2" collapsed="1">
      <c r="A6">
        <f>"  "&amp;'Headcount Detail'!A2</f>
      </c>
      <c r="B6" s="7">
        <f>'Headcount Detail'!E2</f>
      </c>
      <c r="C6" s="7">
        <f>'Headcount Detail'!F2</f>
      </c>
      <c r="D6" s="7">
        <f>'Headcount Detail'!G2</f>
      </c>
      <c r="E6" s="7">
        <f>'Headcount Detail'!H2</f>
      </c>
      <c r="F6" s="7">
        <f>'Headcount Detail'!I2</f>
      </c>
      <c r="G6" s="7">
        <f>'Headcount Detail'!J2</f>
      </c>
      <c r="H6" s="7">
        <f>'Headcount Detail'!K2</f>
      </c>
      <c r="I6" s="7">
        <f>'Headcount Detail'!L2</f>
      </c>
      <c r="J6" s="7">
        <f>'Headcount Detail'!M2</f>
      </c>
      <c r="K6" s="7">
        <f>'Headcount Detail'!N2</f>
      </c>
      <c r="L6" s="7">
        <f>'Headcount Detail'!O2</f>
      </c>
      <c r="M6" s="7">
        <f>'Headcount Detail'!P2</f>
      </c>
      <c r="N6" s="7">
        <f>'Headcount Detail'!Q2</f>
      </c>
      <c r="O6" s="7">
        <f>'Headcount Detail'!R2</f>
      </c>
      <c r="P6" s="7">
        <f>'Headcount Detail'!S2</f>
      </c>
      <c r="Q6" s="7">
        <f>'Headcount Detail'!T2</f>
      </c>
      <c r="R6" s="7">
        <f>'Headcount Detail'!U2</f>
      </c>
      <c r="S6" s="7">
        <f>'Headcount Detail'!V2</f>
      </c>
      <c r="T6" s="7">
        <f>'Headcount Detail'!W2</f>
      </c>
      <c r="U6" s="7">
        <f>'Headcount Detail'!X2</f>
      </c>
      <c r="V6" s="7">
        <f>'Headcount Detail'!Y2</f>
      </c>
      <c r="W6" s="7">
        <f>'Headcount Detail'!Z2</f>
      </c>
      <c r="X6" s="7">
        <f>'Headcount Detail'!AA2</f>
      </c>
      <c r="Y6" s="7">
        <f>'Headcount Detail'!AB2</f>
      </c>
      <c r="Z6" s="7">
        <f>'Headcount Detail'!AC2</f>
      </c>
      <c r="AA6" s="7">
        <f>'Headcount Detail'!AD2</f>
      </c>
      <c r="AB6" s="7">
        <f>'Headcount Detail'!AE2</f>
      </c>
      <c r="AC6" s="7">
        <f>'Headcount Detail'!AF2</f>
      </c>
      <c r="AD6" s="7">
        <f>'Headcount Detail'!AG2</f>
      </c>
      <c r="AE6" s="7">
        <f>'Headcount Detail'!AH2</f>
      </c>
      <c r="AF6" s="7">
        <f>'Headcount Detail'!AI2</f>
      </c>
      <c r="AG6" s="7">
        <f>'Headcount Detail'!AJ2</f>
      </c>
      <c r="AH6" s="7">
        <f>'Headcount Detail'!AK2</f>
      </c>
      <c r="AI6" s="7">
        <f>'Headcount Detail'!AL2</f>
      </c>
      <c r="AJ6" s="7">
        <f>'Headcount Detail'!AM2</f>
      </c>
    </row>
    <row r="7" spans="1:36" x14ac:dyDescent="0.25" outlineLevel="2" collapsed="1">
      <c r="A7">
        <f>"  "&amp;'Headcount Detail'!A3</f>
      </c>
      <c r="B7" s="7">
        <f>'Headcount Detail'!E3</f>
      </c>
      <c r="C7" s="7">
        <f>'Headcount Detail'!F3</f>
      </c>
      <c r="D7" s="7">
        <f>'Headcount Detail'!G3</f>
      </c>
      <c r="E7" s="7">
        <f>'Headcount Detail'!H3</f>
      </c>
      <c r="F7" s="7">
        <f>'Headcount Detail'!I3</f>
      </c>
      <c r="G7" s="7">
        <f>'Headcount Detail'!J3</f>
      </c>
      <c r="H7" s="7">
        <f>'Headcount Detail'!K3</f>
      </c>
      <c r="I7" s="7">
        <f>'Headcount Detail'!L3</f>
      </c>
      <c r="J7" s="7">
        <f>'Headcount Detail'!M3</f>
      </c>
      <c r="K7" s="7">
        <f>'Headcount Detail'!N3</f>
      </c>
      <c r="L7" s="7">
        <f>'Headcount Detail'!O3</f>
      </c>
      <c r="M7" s="7">
        <f>'Headcount Detail'!P3</f>
      </c>
      <c r="N7" s="7">
        <f>'Headcount Detail'!Q3</f>
      </c>
      <c r="O7" s="7">
        <f>'Headcount Detail'!R3</f>
      </c>
      <c r="P7" s="7">
        <f>'Headcount Detail'!S3</f>
      </c>
      <c r="Q7" s="7">
        <f>'Headcount Detail'!T3</f>
      </c>
      <c r="R7" s="7">
        <f>'Headcount Detail'!U3</f>
      </c>
      <c r="S7" s="7">
        <f>'Headcount Detail'!V3</f>
      </c>
      <c r="T7" s="7">
        <f>'Headcount Detail'!W3</f>
      </c>
      <c r="U7" s="7">
        <f>'Headcount Detail'!X3</f>
      </c>
      <c r="V7" s="7">
        <f>'Headcount Detail'!Y3</f>
      </c>
      <c r="W7" s="7">
        <f>'Headcount Detail'!Z3</f>
      </c>
      <c r="X7" s="7">
        <f>'Headcount Detail'!AA3</f>
      </c>
      <c r="Y7" s="7">
        <f>'Headcount Detail'!AB3</f>
      </c>
      <c r="Z7" s="7">
        <f>'Headcount Detail'!AC3</f>
      </c>
      <c r="AA7" s="7">
        <f>'Headcount Detail'!AD3</f>
      </c>
      <c r="AB7" s="7">
        <f>'Headcount Detail'!AE3</f>
      </c>
      <c r="AC7" s="7">
        <f>'Headcount Detail'!AF3</f>
      </c>
      <c r="AD7" s="7">
        <f>'Headcount Detail'!AG3</f>
      </c>
      <c r="AE7" s="7">
        <f>'Headcount Detail'!AH3</f>
      </c>
      <c r="AF7" s="7">
        <f>'Headcount Detail'!AI3</f>
      </c>
      <c r="AG7" s="7">
        <f>'Headcount Detail'!AJ3</f>
      </c>
      <c r="AH7" s="7">
        <f>'Headcount Detail'!AK3</f>
      </c>
      <c r="AI7" s="7">
        <f>'Headcount Detail'!AL3</f>
      </c>
      <c r="AJ7" s="7">
        <f>'Headcount Detail'!AM3</f>
      </c>
    </row>
    <row r="8" spans="1:36" x14ac:dyDescent="0.25" outlineLevel="2" collapsed="1">
      <c r="A8">
        <f>"  "&amp;'Headcount Detail'!A4</f>
      </c>
      <c r="B8" s="7">
        <f>'Headcount Detail'!E4</f>
      </c>
      <c r="C8" s="7">
        <f>'Headcount Detail'!F4</f>
      </c>
      <c r="D8" s="7">
        <f>'Headcount Detail'!G4</f>
      </c>
      <c r="E8" s="7">
        <f>'Headcount Detail'!H4</f>
      </c>
      <c r="F8" s="7">
        <f>'Headcount Detail'!I4</f>
      </c>
      <c r="G8" s="7">
        <f>'Headcount Detail'!J4</f>
      </c>
      <c r="H8" s="7">
        <f>'Headcount Detail'!K4</f>
      </c>
      <c r="I8" s="7">
        <f>'Headcount Detail'!L4</f>
      </c>
      <c r="J8" s="7">
        <f>'Headcount Detail'!M4</f>
      </c>
      <c r="K8" s="7">
        <f>'Headcount Detail'!N4</f>
      </c>
      <c r="L8" s="7">
        <f>'Headcount Detail'!O4</f>
      </c>
      <c r="M8" s="7">
        <f>'Headcount Detail'!P4</f>
      </c>
      <c r="N8" s="7">
        <f>'Headcount Detail'!Q4</f>
      </c>
      <c r="O8" s="7">
        <f>'Headcount Detail'!R4</f>
      </c>
      <c r="P8" s="7">
        <f>'Headcount Detail'!S4</f>
      </c>
      <c r="Q8" s="7">
        <f>'Headcount Detail'!T4</f>
      </c>
      <c r="R8" s="7">
        <f>'Headcount Detail'!U4</f>
      </c>
      <c r="S8" s="7">
        <f>'Headcount Detail'!V4</f>
      </c>
      <c r="T8" s="7">
        <f>'Headcount Detail'!W4</f>
      </c>
      <c r="U8" s="7">
        <f>'Headcount Detail'!X4</f>
      </c>
      <c r="V8" s="7">
        <f>'Headcount Detail'!Y4</f>
      </c>
      <c r="W8" s="7">
        <f>'Headcount Detail'!Z4</f>
      </c>
      <c r="X8" s="7">
        <f>'Headcount Detail'!AA4</f>
      </c>
      <c r="Y8" s="7">
        <f>'Headcount Detail'!AB4</f>
      </c>
      <c r="Z8" s="7">
        <f>'Headcount Detail'!AC4</f>
      </c>
      <c r="AA8" s="7">
        <f>'Headcount Detail'!AD4</f>
      </c>
      <c r="AB8" s="7">
        <f>'Headcount Detail'!AE4</f>
      </c>
      <c r="AC8" s="7">
        <f>'Headcount Detail'!AF4</f>
      </c>
      <c r="AD8" s="7">
        <f>'Headcount Detail'!AG4</f>
      </c>
      <c r="AE8" s="7">
        <f>'Headcount Detail'!AH4</f>
      </c>
      <c r="AF8" s="7">
        <f>'Headcount Detail'!AI4</f>
      </c>
      <c r="AG8" s="7">
        <f>'Headcount Detail'!AJ4</f>
      </c>
      <c r="AH8" s="7">
        <f>'Headcount Detail'!AK4</f>
      </c>
      <c r="AI8" s="7">
        <f>'Headcount Detail'!AL4</f>
      </c>
      <c r="AJ8" s="7">
        <f>'Headcount Detail'!AM4</f>
      </c>
    </row>
    <row r="9" spans="1:36" x14ac:dyDescent="0.25" outlineLevel="2" collapsed="1">
      <c r="A9">
        <f>"  "&amp;'Headcount Detail'!A5</f>
      </c>
      <c r="B9" s="7">
        <f>'Headcount Detail'!E5</f>
      </c>
      <c r="C9" s="7">
        <f>'Headcount Detail'!F5</f>
      </c>
      <c r="D9" s="7">
        <f>'Headcount Detail'!G5</f>
      </c>
      <c r="E9" s="7">
        <f>'Headcount Detail'!H5</f>
      </c>
      <c r="F9" s="7">
        <f>'Headcount Detail'!I5</f>
      </c>
      <c r="G9" s="7">
        <f>'Headcount Detail'!J5</f>
      </c>
      <c r="H9" s="7">
        <f>'Headcount Detail'!K5</f>
      </c>
      <c r="I9" s="7">
        <f>'Headcount Detail'!L5</f>
      </c>
      <c r="J9" s="7">
        <f>'Headcount Detail'!M5</f>
      </c>
      <c r="K9" s="7">
        <f>'Headcount Detail'!N5</f>
      </c>
      <c r="L9" s="7">
        <f>'Headcount Detail'!O5</f>
      </c>
      <c r="M9" s="7">
        <f>'Headcount Detail'!P5</f>
      </c>
      <c r="N9" s="7">
        <f>'Headcount Detail'!Q5</f>
      </c>
      <c r="O9" s="7">
        <f>'Headcount Detail'!R5</f>
      </c>
      <c r="P9" s="7">
        <f>'Headcount Detail'!S5</f>
      </c>
      <c r="Q9" s="7">
        <f>'Headcount Detail'!T5</f>
      </c>
      <c r="R9" s="7">
        <f>'Headcount Detail'!U5</f>
      </c>
      <c r="S9" s="7">
        <f>'Headcount Detail'!V5</f>
      </c>
      <c r="T9" s="7">
        <f>'Headcount Detail'!W5</f>
      </c>
      <c r="U9" s="7">
        <f>'Headcount Detail'!X5</f>
      </c>
      <c r="V9" s="7">
        <f>'Headcount Detail'!Y5</f>
      </c>
      <c r="W9" s="7">
        <f>'Headcount Detail'!Z5</f>
      </c>
      <c r="X9" s="7">
        <f>'Headcount Detail'!AA5</f>
      </c>
      <c r="Y9" s="7">
        <f>'Headcount Detail'!AB5</f>
      </c>
      <c r="Z9" s="7">
        <f>'Headcount Detail'!AC5</f>
      </c>
      <c r="AA9" s="7">
        <f>'Headcount Detail'!AD5</f>
      </c>
      <c r="AB9" s="7">
        <f>'Headcount Detail'!AE5</f>
      </c>
      <c r="AC9" s="7">
        <f>'Headcount Detail'!AF5</f>
      </c>
      <c r="AD9" s="7">
        <f>'Headcount Detail'!AG5</f>
      </c>
      <c r="AE9" s="7">
        <f>'Headcount Detail'!AH5</f>
      </c>
      <c r="AF9" s="7">
        <f>'Headcount Detail'!AI5</f>
      </c>
      <c r="AG9" s="7">
        <f>'Headcount Detail'!AJ5</f>
      </c>
      <c r="AH9" s="7">
        <f>'Headcount Detail'!AK5</f>
      </c>
      <c r="AI9" s="7">
        <f>'Headcount Detail'!AL5</f>
      </c>
      <c r="AJ9" s="7">
        <f>'Headcount Detail'!AM5</f>
      </c>
    </row>
    <row r="10" spans="1:36" x14ac:dyDescent="0.25" outlineLevel="2" collapsed="1">
      <c r="A10">
        <f>"  "&amp;'Headcount Detail'!A6</f>
      </c>
      <c r="B10" s="7">
        <f>'Headcount Detail'!E6</f>
      </c>
      <c r="C10" s="7">
        <f>'Headcount Detail'!F6</f>
      </c>
      <c r="D10" s="7">
        <f>'Headcount Detail'!G6</f>
      </c>
      <c r="E10" s="7">
        <f>'Headcount Detail'!H6</f>
      </c>
      <c r="F10" s="7">
        <f>'Headcount Detail'!I6</f>
      </c>
      <c r="G10" s="7">
        <f>'Headcount Detail'!J6</f>
      </c>
      <c r="H10" s="7">
        <f>'Headcount Detail'!K6</f>
      </c>
      <c r="I10" s="7">
        <f>'Headcount Detail'!L6</f>
      </c>
      <c r="J10" s="7">
        <f>'Headcount Detail'!M6</f>
      </c>
      <c r="K10" s="7">
        <f>'Headcount Detail'!N6</f>
      </c>
      <c r="L10" s="7">
        <f>'Headcount Detail'!O6</f>
      </c>
      <c r="M10" s="7">
        <f>'Headcount Detail'!P6</f>
      </c>
      <c r="N10" s="7">
        <f>'Headcount Detail'!Q6</f>
      </c>
      <c r="O10" s="7">
        <f>'Headcount Detail'!R6</f>
      </c>
      <c r="P10" s="7">
        <f>'Headcount Detail'!S6</f>
      </c>
      <c r="Q10" s="7">
        <f>'Headcount Detail'!T6</f>
      </c>
      <c r="R10" s="7">
        <f>'Headcount Detail'!U6</f>
      </c>
      <c r="S10" s="7">
        <f>'Headcount Detail'!V6</f>
      </c>
      <c r="T10" s="7">
        <f>'Headcount Detail'!W6</f>
      </c>
      <c r="U10" s="7">
        <f>'Headcount Detail'!X6</f>
      </c>
      <c r="V10" s="7">
        <f>'Headcount Detail'!Y6</f>
      </c>
      <c r="W10" s="7">
        <f>'Headcount Detail'!Z6</f>
      </c>
      <c r="X10" s="7">
        <f>'Headcount Detail'!AA6</f>
      </c>
      <c r="Y10" s="7">
        <f>'Headcount Detail'!AB6</f>
      </c>
      <c r="Z10" s="7">
        <f>'Headcount Detail'!AC6</f>
      </c>
      <c r="AA10" s="7">
        <f>'Headcount Detail'!AD6</f>
      </c>
      <c r="AB10" s="7">
        <f>'Headcount Detail'!AE6</f>
      </c>
      <c r="AC10" s="7">
        <f>'Headcount Detail'!AF6</f>
      </c>
      <c r="AD10" s="7">
        <f>'Headcount Detail'!AG6</f>
      </c>
      <c r="AE10" s="7">
        <f>'Headcount Detail'!AH6</f>
      </c>
      <c r="AF10" s="7">
        <f>'Headcount Detail'!AI6</f>
      </c>
      <c r="AG10" s="7">
        <f>'Headcount Detail'!AJ6</f>
      </c>
      <c r="AH10" s="7">
        <f>'Headcount Detail'!AK6</f>
      </c>
      <c r="AI10" s="7">
        <f>'Headcount Detail'!AL6</f>
      </c>
      <c r="AJ10" s="7">
        <f>'Headcount Detail'!AM6</f>
      </c>
    </row>
    <row r="11" spans="1:36" x14ac:dyDescent="0.25" outlineLevel="2" collapsed="1">
      <c r="A11">
        <f>"  "&amp;'Headcount Detail'!A7</f>
      </c>
      <c r="B11" s="7">
        <f>'Headcount Detail'!E7</f>
      </c>
      <c r="C11" s="7">
        <f>'Headcount Detail'!F7</f>
      </c>
      <c r="D11" s="7">
        <f>'Headcount Detail'!G7</f>
      </c>
      <c r="E11" s="7">
        <f>'Headcount Detail'!H7</f>
      </c>
      <c r="F11" s="7">
        <f>'Headcount Detail'!I7</f>
      </c>
      <c r="G11" s="7">
        <f>'Headcount Detail'!J7</f>
      </c>
      <c r="H11" s="7">
        <f>'Headcount Detail'!K7</f>
      </c>
      <c r="I11" s="7">
        <f>'Headcount Detail'!L7</f>
      </c>
      <c r="J11" s="7">
        <f>'Headcount Detail'!M7</f>
      </c>
      <c r="K11" s="7">
        <f>'Headcount Detail'!N7</f>
      </c>
      <c r="L11" s="7">
        <f>'Headcount Detail'!O7</f>
      </c>
      <c r="M11" s="7">
        <f>'Headcount Detail'!P7</f>
      </c>
      <c r="N11" s="7">
        <f>'Headcount Detail'!Q7</f>
      </c>
      <c r="O11" s="7">
        <f>'Headcount Detail'!R7</f>
      </c>
      <c r="P11" s="7">
        <f>'Headcount Detail'!S7</f>
      </c>
      <c r="Q11" s="7">
        <f>'Headcount Detail'!T7</f>
      </c>
      <c r="R11" s="7">
        <f>'Headcount Detail'!U7</f>
      </c>
      <c r="S11" s="7">
        <f>'Headcount Detail'!V7</f>
      </c>
      <c r="T11" s="7">
        <f>'Headcount Detail'!W7</f>
      </c>
      <c r="U11" s="7">
        <f>'Headcount Detail'!X7</f>
      </c>
      <c r="V11" s="7">
        <f>'Headcount Detail'!Y7</f>
      </c>
      <c r="W11" s="7">
        <f>'Headcount Detail'!Z7</f>
      </c>
      <c r="X11" s="7">
        <f>'Headcount Detail'!AA7</f>
      </c>
      <c r="Y11" s="7">
        <f>'Headcount Detail'!AB7</f>
      </c>
      <c r="Z11" s="7">
        <f>'Headcount Detail'!AC7</f>
      </c>
      <c r="AA11" s="7">
        <f>'Headcount Detail'!AD7</f>
      </c>
      <c r="AB11" s="7">
        <f>'Headcount Detail'!AE7</f>
      </c>
      <c r="AC11" s="7">
        <f>'Headcount Detail'!AF7</f>
      </c>
      <c r="AD11" s="7">
        <f>'Headcount Detail'!AG7</f>
      </c>
      <c r="AE11" s="7">
        <f>'Headcount Detail'!AH7</f>
      </c>
      <c r="AF11" s="7">
        <f>'Headcount Detail'!AI7</f>
      </c>
      <c r="AG11" s="7">
        <f>'Headcount Detail'!AJ7</f>
      </c>
      <c r="AH11" s="7">
        <f>'Headcount Detail'!AK7</f>
      </c>
      <c r="AI11" s="7">
        <f>'Headcount Detail'!AL7</f>
      </c>
      <c r="AJ11" s="7">
        <f>'Headcount Detail'!AM7</f>
      </c>
    </row>
    <row r="12" spans="1:36" x14ac:dyDescent="0.25" outlineLevel="2" collapsed="1">
      <c r="A12">
        <f>"  "&amp;'Headcount Detail'!A8</f>
      </c>
      <c r="B12" s="7">
        <f>'Headcount Detail'!E8</f>
      </c>
      <c r="C12" s="7">
        <f>'Headcount Detail'!F8</f>
      </c>
      <c r="D12" s="7">
        <f>'Headcount Detail'!G8</f>
      </c>
      <c r="E12" s="7">
        <f>'Headcount Detail'!H8</f>
      </c>
      <c r="F12" s="7">
        <f>'Headcount Detail'!I8</f>
      </c>
      <c r="G12" s="7">
        <f>'Headcount Detail'!J8</f>
      </c>
      <c r="H12" s="7">
        <f>'Headcount Detail'!K8</f>
      </c>
      <c r="I12" s="7">
        <f>'Headcount Detail'!L8</f>
      </c>
      <c r="J12" s="7">
        <f>'Headcount Detail'!M8</f>
      </c>
      <c r="K12" s="7">
        <f>'Headcount Detail'!N8</f>
      </c>
      <c r="L12" s="7">
        <f>'Headcount Detail'!O8</f>
      </c>
      <c r="M12" s="7">
        <f>'Headcount Detail'!P8</f>
      </c>
      <c r="N12" s="7">
        <f>'Headcount Detail'!Q8</f>
      </c>
      <c r="O12" s="7">
        <f>'Headcount Detail'!R8</f>
      </c>
      <c r="P12" s="7">
        <f>'Headcount Detail'!S8</f>
      </c>
      <c r="Q12" s="7">
        <f>'Headcount Detail'!T8</f>
      </c>
      <c r="R12" s="7">
        <f>'Headcount Detail'!U8</f>
      </c>
      <c r="S12" s="7">
        <f>'Headcount Detail'!V8</f>
      </c>
      <c r="T12" s="7">
        <f>'Headcount Detail'!W8</f>
      </c>
      <c r="U12" s="7">
        <f>'Headcount Detail'!X8</f>
      </c>
      <c r="V12" s="7">
        <f>'Headcount Detail'!Y8</f>
      </c>
      <c r="W12" s="7">
        <f>'Headcount Detail'!Z8</f>
      </c>
      <c r="X12" s="7">
        <f>'Headcount Detail'!AA8</f>
      </c>
      <c r="Y12" s="7">
        <f>'Headcount Detail'!AB8</f>
      </c>
      <c r="Z12" s="7">
        <f>'Headcount Detail'!AC8</f>
      </c>
      <c r="AA12" s="7">
        <f>'Headcount Detail'!AD8</f>
      </c>
      <c r="AB12" s="7">
        <f>'Headcount Detail'!AE8</f>
      </c>
      <c r="AC12" s="7">
        <f>'Headcount Detail'!AF8</f>
      </c>
      <c r="AD12" s="7">
        <f>'Headcount Detail'!AG8</f>
      </c>
      <c r="AE12" s="7">
        <f>'Headcount Detail'!AH8</f>
      </c>
      <c r="AF12" s="7">
        <f>'Headcount Detail'!AI8</f>
      </c>
      <c r="AG12" s="7">
        <f>'Headcount Detail'!AJ8</f>
      </c>
      <c r="AH12" s="7">
        <f>'Headcount Detail'!AK8</f>
      </c>
      <c r="AI12" s="7">
        <f>'Headcount Detail'!AL8</f>
      </c>
      <c r="AJ12" s="7">
        <f>'Headcount Detail'!AM8</f>
      </c>
    </row>
    <row r="13" spans="1:36" x14ac:dyDescent="0.25" outlineLevel="2" collapsed="1">
      <c r="A13">
        <f>"  "&amp;'Headcount Detail'!A9</f>
      </c>
      <c r="B13" s="7">
        <f>'Headcount Detail'!E9</f>
      </c>
      <c r="C13" s="7">
        <f>'Headcount Detail'!F9</f>
      </c>
      <c r="D13" s="7">
        <f>'Headcount Detail'!G9</f>
      </c>
      <c r="E13" s="7">
        <f>'Headcount Detail'!H9</f>
      </c>
      <c r="F13" s="7">
        <f>'Headcount Detail'!I9</f>
      </c>
      <c r="G13" s="7">
        <f>'Headcount Detail'!J9</f>
      </c>
      <c r="H13" s="7">
        <f>'Headcount Detail'!K9</f>
      </c>
      <c r="I13" s="7">
        <f>'Headcount Detail'!L9</f>
      </c>
      <c r="J13" s="7">
        <f>'Headcount Detail'!M9</f>
      </c>
      <c r="K13" s="7">
        <f>'Headcount Detail'!N9</f>
      </c>
      <c r="L13" s="7">
        <f>'Headcount Detail'!O9</f>
      </c>
      <c r="M13" s="7">
        <f>'Headcount Detail'!P9</f>
      </c>
      <c r="N13" s="7">
        <f>'Headcount Detail'!Q9</f>
      </c>
      <c r="O13" s="7">
        <f>'Headcount Detail'!R9</f>
      </c>
      <c r="P13" s="7">
        <f>'Headcount Detail'!S9</f>
      </c>
      <c r="Q13" s="7">
        <f>'Headcount Detail'!T9</f>
      </c>
      <c r="R13" s="7">
        <f>'Headcount Detail'!U9</f>
      </c>
      <c r="S13" s="7">
        <f>'Headcount Detail'!V9</f>
      </c>
      <c r="T13" s="7">
        <f>'Headcount Detail'!W9</f>
      </c>
      <c r="U13" s="7">
        <f>'Headcount Detail'!X9</f>
      </c>
      <c r="V13" s="7">
        <f>'Headcount Detail'!Y9</f>
      </c>
      <c r="W13" s="7">
        <f>'Headcount Detail'!Z9</f>
      </c>
      <c r="X13" s="7">
        <f>'Headcount Detail'!AA9</f>
      </c>
      <c r="Y13" s="7">
        <f>'Headcount Detail'!AB9</f>
      </c>
      <c r="Z13" s="7">
        <f>'Headcount Detail'!AC9</f>
      </c>
      <c r="AA13" s="7">
        <f>'Headcount Detail'!AD9</f>
      </c>
      <c r="AB13" s="7">
        <f>'Headcount Detail'!AE9</f>
      </c>
      <c r="AC13" s="7">
        <f>'Headcount Detail'!AF9</f>
      </c>
      <c r="AD13" s="7">
        <f>'Headcount Detail'!AG9</f>
      </c>
      <c r="AE13" s="7">
        <f>'Headcount Detail'!AH9</f>
      </c>
      <c r="AF13" s="7">
        <f>'Headcount Detail'!AI9</f>
      </c>
      <c r="AG13" s="7">
        <f>'Headcount Detail'!AJ9</f>
      </c>
      <c r="AH13" s="7">
        <f>'Headcount Detail'!AK9</f>
      </c>
      <c r="AI13" s="7">
        <f>'Headcount Detail'!AL9</f>
      </c>
      <c r="AJ13" s="7">
        <f>'Headcount Detail'!AM9</f>
      </c>
    </row>
    <row r="14" spans="1:36" x14ac:dyDescent="0.25" outlineLevel="2" collapsed="1">
      <c r="A14">
        <f>"  "&amp;'Headcount Detail'!A10</f>
      </c>
      <c r="B14" s="7">
        <f>'Headcount Detail'!E10</f>
      </c>
      <c r="C14" s="7">
        <f>'Headcount Detail'!F10</f>
      </c>
      <c r="D14" s="7">
        <f>'Headcount Detail'!G10</f>
      </c>
      <c r="E14" s="7">
        <f>'Headcount Detail'!H10</f>
      </c>
      <c r="F14" s="7">
        <f>'Headcount Detail'!I10</f>
      </c>
      <c r="G14" s="7">
        <f>'Headcount Detail'!J10</f>
      </c>
      <c r="H14" s="7">
        <f>'Headcount Detail'!K10</f>
      </c>
      <c r="I14" s="7">
        <f>'Headcount Detail'!L10</f>
      </c>
      <c r="J14" s="7">
        <f>'Headcount Detail'!M10</f>
      </c>
      <c r="K14" s="7">
        <f>'Headcount Detail'!N10</f>
      </c>
      <c r="L14" s="7">
        <f>'Headcount Detail'!O10</f>
      </c>
      <c r="M14" s="7">
        <f>'Headcount Detail'!P10</f>
      </c>
      <c r="N14" s="7">
        <f>'Headcount Detail'!Q10</f>
      </c>
      <c r="O14" s="7">
        <f>'Headcount Detail'!R10</f>
      </c>
      <c r="P14" s="7">
        <f>'Headcount Detail'!S10</f>
      </c>
      <c r="Q14" s="7">
        <f>'Headcount Detail'!T10</f>
      </c>
      <c r="R14" s="7">
        <f>'Headcount Detail'!U10</f>
      </c>
      <c r="S14" s="7">
        <f>'Headcount Detail'!V10</f>
      </c>
      <c r="T14" s="7">
        <f>'Headcount Detail'!W10</f>
      </c>
      <c r="U14" s="7">
        <f>'Headcount Detail'!X10</f>
      </c>
      <c r="V14" s="7">
        <f>'Headcount Detail'!Y10</f>
      </c>
      <c r="W14" s="7">
        <f>'Headcount Detail'!Z10</f>
      </c>
      <c r="X14" s="7">
        <f>'Headcount Detail'!AA10</f>
      </c>
      <c r="Y14" s="7">
        <f>'Headcount Detail'!AB10</f>
      </c>
      <c r="Z14" s="7">
        <f>'Headcount Detail'!AC10</f>
      </c>
      <c r="AA14" s="7">
        <f>'Headcount Detail'!AD10</f>
      </c>
      <c r="AB14" s="7">
        <f>'Headcount Detail'!AE10</f>
      </c>
      <c r="AC14" s="7">
        <f>'Headcount Detail'!AF10</f>
      </c>
      <c r="AD14" s="7">
        <f>'Headcount Detail'!AG10</f>
      </c>
      <c r="AE14" s="7">
        <f>'Headcount Detail'!AH10</f>
      </c>
      <c r="AF14" s="7">
        <f>'Headcount Detail'!AI10</f>
      </c>
      <c r="AG14" s="7">
        <f>'Headcount Detail'!AJ10</f>
      </c>
      <c r="AH14" s="7">
        <f>'Headcount Detail'!AK10</f>
      </c>
      <c r="AI14" s="7">
        <f>'Headcount Detail'!AL10</f>
      </c>
      <c r="AJ14" s="7">
        <f>'Headcount Detail'!AM10</f>
      </c>
    </row>
    <row r="15" spans="1:36" x14ac:dyDescent="0.25" outlineLevel="2" collapsed="1">
      <c r="A15">
        <f>"  "&amp;'Headcount Detail'!A11</f>
      </c>
      <c r="B15" s="7">
        <f>'Headcount Detail'!E11</f>
      </c>
      <c r="C15" s="7">
        <f>'Headcount Detail'!F11</f>
      </c>
      <c r="D15" s="7">
        <f>'Headcount Detail'!G11</f>
      </c>
      <c r="E15" s="7">
        <f>'Headcount Detail'!H11</f>
      </c>
      <c r="F15" s="7">
        <f>'Headcount Detail'!I11</f>
      </c>
      <c r="G15" s="7">
        <f>'Headcount Detail'!J11</f>
      </c>
      <c r="H15" s="7">
        <f>'Headcount Detail'!K11</f>
      </c>
      <c r="I15" s="7">
        <f>'Headcount Detail'!L11</f>
      </c>
      <c r="J15" s="7">
        <f>'Headcount Detail'!M11</f>
      </c>
      <c r="K15" s="7">
        <f>'Headcount Detail'!N11</f>
      </c>
      <c r="L15" s="7">
        <f>'Headcount Detail'!O11</f>
      </c>
      <c r="M15" s="7">
        <f>'Headcount Detail'!P11</f>
      </c>
      <c r="N15" s="7">
        <f>'Headcount Detail'!Q11</f>
      </c>
      <c r="O15" s="7">
        <f>'Headcount Detail'!R11</f>
      </c>
      <c r="P15" s="7">
        <f>'Headcount Detail'!S11</f>
      </c>
      <c r="Q15" s="7">
        <f>'Headcount Detail'!T11</f>
      </c>
      <c r="R15" s="7">
        <f>'Headcount Detail'!U11</f>
      </c>
      <c r="S15" s="7">
        <f>'Headcount Detail'!V11</f>
      </c>
      <c r="T15" s="7">
        <f>'Headcount Detail'!W11</f>
      </c>
      <c r="U15" s="7">
        <f>'Headcount Detail'!X11</f>
      </c>
      <c r="V15" s="7">
        <f>'Headcount Detail'!Y11</f>
      </c>
      <c r="W15" s="7">
        <f>'Headcount Detail'!Z11</f>
      </c>
      <c r="X15" s="7">
        <f>'Headcount Detail'!AA11</f>
      </c>
      <c r="Y15" s="7">
        <f>'Headcount Detail'!AB11</f>
      </c>
      <c r="Z15" s="7">
        <f>'Headcount Detail'!AC11</f>
      </c>
      <c r="AA15" s="7">
        <f>'Headcount Detail'!AD11</f>
      </c>
      <c r="AB15" s="7">
        <f>'Headcount Detail'!AE11</f>
      </c>
      <c r="AC15" s="7">
        <f>'Headcount Detail'!AF11</f>
      </c>
      <c r="AD15" s="7">
        <f>'Headcount Detail'!AG11</f>
      </c>
      <c r="AE15" s="7">
        <f>'Headcount Detail'!AH11</f>
      </c>
      <c r="AF15" s="7">
        <f>'Headcount Detail'!AI11</f>
      </c>
      <c r="AG15" s="7">
        <f>'Headcount Detail'!AJ11</f>
      </c>
      <c r="AH15" s="7">
        <f>'Headcount Detail'!AK11</f>
      </c>
      <c r="AI15" s="7">
        <f>'Headcount Detail'!AL11</f>
      </c>
      <c r="AJ15" s="7">
        <f>'Headcount Detail'!AM11</f>
      </c>
    </row>
    <row r="16" spans="1:36" x14ac:dyDescent="0.25" outlineLevel="2" collapsed="1">
      <c r="A16">
        <f>"  "&amp;'Headcount Detail'!A12</f>
      </c>
      <c r="B16" s="7">
        <f>'Headcount Detail'!E12</f>
      </c>
      <c r="C16" s="7">
        <f>'Headcount Detail'!F12</f>
      </c>
      <c r="D16" s="7">
        <f>'Headcount Detail'!G12</f>
      </c>
      <c r="E16" s="7">
        <f>'Headcount Detail'!H12</f>
      </c>
      <c r="F16" s="7">
        <f>'Headcount Detail'!I12</f>
      </c>
      <c r="G16" s="7">
        <f>'Headcount Detail'!J12</f>
      </c>
      <c r="H16" s="7">
        <f>'Headcount Detail'!K12</f>
      </c>
      <c r="I16" s="7">
        <f>'Headcount Detail'!L12</f>
      </c>
      <c r="J16" s="7">
        <f>'Headcount Detail'!M12</f>
      </c>
      <c r="K16" s="7">
        <f>'Headcount Detail'!N12</f>
      </c>
      <c r="L16" s="7">
        <f>'Headcount Detail'!O12</f>
      </c>
      <c r="M16" s="7">
        <f>'Headcount Detail'!P12</f>
      </c>
      <c r="N16" s="7">
        <f>'Headcount Detail'!Q12</f>
      </c>
      <c r="O16" s="7">
        <f>'Headcount Detail'!R12</f>
      </c>
      <c r="P16" s="7">
        <f>'Headcount Detail'!S12</f>
      </c>
      <c r="Q16" s="7">
        <f>'Headcount Detail'!T12</f>
      </c>
      <c r="R16" s="7">
        <f>'Headcount Detail'!U12</f>
      </c>
      <c r="S16" s="7">
        <f>'Headcount Detail'!V12</f>
      </c>
      <c r="T16" s="7">
        <f>'Headcount Detail'!W12</f>
      </c>
      <c r="U16" s="7">
        <f>'Headcount Detail'!X12</f>
      </c>
      <c r="V16" s="7">
        <f>'Headcount Detail'!Y12</f>
      </c>
      <c r="W16" s="7">
        <f>'Headcount Detail'!Z12</f>
      </c>
      <c r="X16" s="7">
        <f>'Headcount Detail'!AA12</f>
      </c>
      <c r="Y16" s="7">
        <f>'Headcount Detail'!AB12</f>
      </c>
      <c r="Z16" s="7">
        <f>'Headcount Detail'!AC12</f>
      </c>
      <c r="AA16" s="7">
        <f>'Headcount Detail'!AD12</f>
      </c>
      <c r="AB16" s="7">
        <f>'Headcount Detail'!AE12</f>
      </c>
      <c r="AC16" s="7">
        <f>'Headcount Detail'!AF12</f>
      </c>
      <c r="AD16" s="7">
        <f>'Headcount Detail'!AG12</f>
      </c>
      <c r="AE16" s="7">
        <f>'Headcount Detail'!AH12</f>
      </c>
      <c r="AF16" s="7">
        <f>'Headcount Detail'!AI12</f>
      </c>
      <c r="AG16" s="7">
        <f>'Headcount Detail'!AJ12</f>
      </c>
      <c r="AH16" s="7">
        <f>'Headcount Detail'!AK12</f>
      </c>
      <c r="AI16" s="7">
        <f>'Headcount Detail'!AL12</f>
      </c>
      <c r="AJ16" s="7">
        <f>'Headcount Detail'!AM12</f>
      </c>
    </row>
    <row r="17" spans="1:36" x14ac:dyDescent="0.25" outlineLevel="2" collapsed="1">
      <c r="A17">
        <f>"  "&amp;'Headcount Detail'!A13</f>
      </c>
      <c r="B17" s="7">
        <f>'Headcount Detail'!E13</f>
      </c>
      <c r="C17" s="7">
        <f>'Headcount Detail'!F13</f>
      </c>
      <c r="D17" s="7">
        <f>'Headcount Detail'!G13</f>
      </c>
      <c r="E17" s="7">
        <f>'Headcount Detail'!H13</f>
      </c>
      <c r="F17" s="7">
        <f>'Headcount Detail'!I13</f>
      </c>
      <c r="G17" s="7">
        <f>'Headcount Detail'!J13</f>
      </c>
      <c r="H17" s="7">
        <f>'Headcount Detail'!K13</f>
      </c>
      <c r="I17" s="7">
        <f>'Headcount Detail'!L13</f>
      </c>
      <c r="J17" s="7">
        <f>'Headcount Detail'!M13</f>
      </c>
      <c r="K17" s="7">
        <f>'Headcount Detail'!N13</f>
      </c>
      <c r="L17" s="7">
        <f>'Headcount Detail'!O13</f>
      </c>
      <c r="M17" s="7">
        <f>'Headcount Detail'!P13</f>
      </c>
      <c r="N17" s="7">
        <f>'Headcount Detail'!Q13</f>
      </c>
      <c r="O17" s="7">
        <f>'Headcount Detail'!R13</f>
      </c>
      <c r="P17" s="7">
        <f>'Headcount Detail'!S13</f>
      </c>
      <c r="Q17" s="7">
        <f>'Headcount Detail'!T13</f>
      </c>
      <c r="R17" s="7">
        <f>'Headcount Detail'!U13</f>
      </c>
      <c r="S17" s="7">
        <f>'Headcount Detail'!V13</f>
      </c>
      <c r="T17" s="7">
        <f>'Headcount Detail'!W13</f>
      </c>
      <c r="U17" s="7">
        <f>'Headcount Detail'!X13</f>
      </c>
      <c r="V17" s="7">
        <f>'Headcount Detail'!Y13</f>
      </c>
      <c r="W17" s="7">
        <f>'Headcount Detail'!Z13</f>
      </c>
      <c r="X17" s="7">
        <f>'Headcount Detail'!AA13</f>
      </c>
      <c r="Y17" s="7">
        <f>'Headcount Detail'!AB13</f>
      </c>
      <c r="Z17" s="7">
        <f>'Headcount Detail'!AC13</f>
      </c>
      <c r="AA17" s="7">
        <f>'Headcount Detail'!AD13</f>
      </c>
      <c r="AB17" s="7">
        <f>'Headcount Detail'!AE13</f>
      </c>
      <c r="AC17" s="7">
        <f>'Headcount Detail'!AF13</f>
      </c>
      <c r="AD17" s="7">
        <f>'Headcount Detail'!AG13</f>
      </c>
      <c r="AE17" s="7">
        <f>'Headcount Detail'!AH13</f>
      </c>
      <c r="AF17" s="7">
        <f>'Headcount Detail'!AI13</f>
      </c>
      <c r="AG17" s="7">
        <f>'Headcount Detail'!AJ13</f>
      </c>
      <c r="AH17" s="7">
        <f>'Headcount Detail'!AK13</f>
      </c>
      <c r="AI17" s="7">
        <f>'Headcount Detail'!AL13</f>
      </c>
      <c r="AJ17" s="7">
        <f>'Headcount Detail'!AM13</f>
      </c>
    </row>
    <row r="18" spans="1:36" x14ac:dyDescent="0.25" outlineLevel="2" collapsed="1">
      <c r="A18">
        <f>"  "&amp;'Headcount Detail'!A14</f>
      </c>
      <c r="B18" s="7">
        <f>'Headcount Detail'!E14</f>
      </c>
      <c r="C18" s="7">
        <f>'Headcount Detail'!F14</f>
      </c>
      <c r="D18" s="7">
        <f>'Headcount Detail'!G14</f>
      </c>
      <c r="E18" s="7">
        <f>'Headcount Detail'!H14</f>
      </c>
      <c r="F18" s="7">
        <f>'Headcount Detail'!I14</f>
      </c>
      <c r="G18" s="7">
        <f>'Headcount Detail'!J14</f>
      </c>
      <c r="H18" s="7">
        <f>'Headcount Detail'!K14</f>
      </c>
      <c r="I18" s="7">
        <f>'Headcount Detail'!L14</f>
      </c>
      <c r="J18" s="7">
        <f>'Headcount Detail'!M14</f>
      </c>
      <c r="K18" s="7">
        <f>'Headcount Detail'!N14</f>
      </c>
      <c r="L18" s="7">
        <f>'Headcount Detail'!O14</f>
      </c>
      <c r="M18" s="7">
        <f>'Headcount Detail'!P14</f>
      </c>
      <c r="N18" s="7">
        <f>'Headcount Detail'!Q14</f>
      </c>
      <c r="O18" s="7">
        <f>'Headcount Detail'!R14</f>
      </c>
      <c r="P18" s="7">
        <f>'Headcount Detail'!S14</f>
      </c>
      <c r="Q18" s="7">
        <f>'Headcount Detail'!T14</f>
      </c>
      <c r="R18" s="7">
        <f>'Headcount Detail'!U14</f>
      </c>
      <c r="S18" s="7">
        <f>'Headcount Detail'!V14</f>
      </c>
      <c r="T18" s="7">
        <f>'Headcount Detail'!W14</f>
      </c>
      <c r="U18" s="7">
        <f>'Headcount Detail'!X14</f>
      </c>
      <c r="V18" s="7">
        <f>'Headcount Detail'!Y14</f>
      </c>
      <c r="W18" s="7">
        <f>'Headcount Detail'!Z14</f>
      </c>
      <c r="X18" s="7">
        <f>'Headcount Detail'!AA14</f>
      </c>
      <c r="Y18" s="7">
        <f>'Headcount Detail'!AB14</f>
      </c>
      <c r="Z18" s="7">
        <f>'Headcount Detail'!AC14</f>
      </c>
      <c r="AA18" s="7">
        <f>'Headcount Detail'!AD14</f>
      </c>
      <c r="AB18" s="7">
        <f>'Headcount Detail'!AE14</f>
      </c>
      <c r="AC18" s="7">
        <f>'Headcount Detail'!AF14</f>
      </c>
      <c r="AD18" s="7">
        <f>'Headcount Detail'!AG14</f>
      </c>
      <c r="AE18" s="7">
        <f>'Headcount Detail'!AH14</f>
      </c>
      <c r="AF18" s="7">
        <f>'Headcount Detail'!AI14</f>
      </c>
      <c r="AG18" s="7">
        <f>'Headcount Detail'!AJ14</f>
      </c>
      <c r="AH18" s="7">
        <f>'Headcount Detail'!AK14</f>
      </c>
      <c r="AI18" s="7">
        <f>'Headcount Detail'!AL14</f>
      </c>
      <c r="AJ18" s="7">
        <f>'Headcount Detail'!AM14</f>
      </c>
    </row>
    <row r="19" spans="1:36" x14ac:dyDescent="0.25" outlineLevel="2" collapsed="1">
      <c r="A19">
        <f>"  "&amp;'Headcount Detail'!A15</f>
      </c>
      <c r="B19" s="7">
        <f>'Headcount Detail'!E15</f>
      </c>
      <c r="C19" s="7">
        <f>'Headcount Detail'!F15</f>
      </c>
      <c r="D19" s="7">
        <f>'Headcount Detail'!G15</f>
      </c>
      <c r="E19" s="7">
        <f>'Headcount Detail'!H15</f>
      </c>
      <c r="F19" s="7">
        <f>'Headcount Detail'!I15</f>
      </c>
      <c r="G19" s="7">
        <f>'Headcount Detail'!J15</f>
      </c>
      <c r="H19" s="7">
        <f>'Headcount Detail'!K15</f>
      </c>
      <c r="I19" s="7">
        <f>'Headcount Detail'!L15</f>
      </c>
      <c r="J19" s="7">
        <f>'Headcount Detail'!M15</f>
      </c>
      <c r="K19" s="7">
        <f>'Headcount Detail'!N15</f>
      </c>
      <c r="L19" s="7">
        <f>'Headcount Detail'!O15</f>
      </c>
      <c r="M19" s="7">
        <f>'Headcount Detail'!P15</f>
      </c>
      <c r="N19" s="7">
        <f>'Headcount Detail'!Q15</f>
      </c>
      <c r="O19" s="7">
        <f>'Headcount Detail'!R15</f>
      </c>
      <c r="P19" s="7">
        <f>'Headcount Detail'!S15</f>
      </c>
      <c r="Q19" s="7">
        <f>'Headcount Detail'!T15</f>
      </c>
      <c r="R19" s="7">
        <f>'Headcount Detail'!U15</f>
      </c>
      <c r="S19" s="7">
        <f>'Headcount Detail'!V15</f>
      </c>
      <c r="T19" s="7">
        <f>'Headcount Detail'!W15</f>
      </c>
      <c r="U19" s="7">
        <f>'Headcount Detail'!X15</f>
      </c>
      <c r="V19" s="7">
        <f>'Headcount Detail'!Y15</f>
      </c>
      <c r="W19" s="7">
        <f>'Headcount Detail'!Z15</f>
      </c>
      <c r="X19" s="7">
        <f>'Headcount Detail'!AA15</f>
      </c>
      <c r="Y19" s="7">
        <f>'Headcount Detail'!AB15</f>
      </c>
      <c r="Z19" s="7">
        <f>'Headcount Detail'!AC15</f>
      </c>
      <c r="AA19" s="7">
        <f>'Headcount Detail'!AD15</f>
      </c>
      <c r="AB19" s="7">
        <f>'Headcount Detail'!AE15</f>
      </c>
      <c r="AC19" s="7">
        <f>'Headcount Detail'!AF15</f>
      </c>
      <c r="AD19" s="7">
        <f>'Headcount Detail'!AG15</f>
      </c>
      <c r="AE19" s="7">
        <f>'Headcount Detail'!AH15</f>
      </c>
      <c r="AF19" s="7">
        <f>'Headcount Detail'!AI15</f>
      </c>
      <c r="AG19" s="7">
        <f>'Headcount Detail'!AJ15</f>
      </c>
      <c r="AH19" s="7">
        <f>'Headcount Detail'!AK15</f>
      </c>
      <c r="AI19" s="7">
        <f>'Headcount Detail'!AL15</f>
      </c>
      <c r="AJ19" s="7">
        <f>'Headcount Detail'!AM15</f>
      </c>
    </row>
    <row r="20" spans="1:36" x14ac:dyDescent="0.25" outlineLevel="2" collapsed="1">
      <c r="A20">
        <f>"  "&amp;'Headcount Detail'!A16</f>
      </c>
      <c r="B20" s="7">
        <f>'Headcount Detail'!E16</f>
      </c>
      <c r="C20" s="7">
        <f>'Headcount Detail'!F16</f>
      </c>
      <c r="D20" s="7">
        <f>'Headcount Detail'!G16</f>
      </c>
      <c r="E20" s="7">
        <f>'Headcount Detail'!H16</f>
      </c>
      <c r="F20" s="7">
        <f>'Headcount Detail'!I16</f>
      </c>
      <c r="G20" s="7">
        <f>'Headcount Detail'!J16</f>
      </c>
      <c r="H20" s="7">
        <f>'Headcount Detail'!K16</f>
      </c>
      <c r="I20" s="7">
        <f>'Headcount Detail'!L16</f>
      </c>
      <c r="J20" s="7">
        <f>'Headcount Detail'!M16</f>
      </c>
      <c r="K20" s="7">
        <f>'Headcount Detail'!N16</f>
      </c>
      <c r="L20" s="7">
        <f>'Headcount Detail'!O16</f>
      </c>
      <c r="M20" s="7">
        <f>'Headcount Detail'!P16</f>
      </c>
      <c r="N20" s="7">
        <f>'Headcount Detail'!Q16</f>
      </c>
      <c r="O20" s="7">
        <f>'Headcount Detail'!R16</f>
      </c>
      <c r="P20" s="7">
        <f>'Headcount Detail'!S16</f>
      </c>
      <c r="Q20" s="7">
        <f>'Headcount Detail'!T16</f>
      </c>
      <c r="R20" s="7">
        <f>'Headcount Detail'!U16</f>
      </c>
      <c r="S20" s="7">
        <f>'Headcount Detail'!V16</f>
      </c>
      <c r="T20" s="7">
        <f>'Headcount Detail'!W16</f>
      </c>
      <c r="U20" s="7">
        <f>'Headcount Detail'!X16</f>
      </c>
      <c r="V20" s="7">
        <f>'Headcount Detail'!Y16</f>
      </c>
      <c r="W20" s="7">
        <f>'Headcount Detail'!Z16</f>
      </c>
      <c r="X20" s="7">
        <f>'Headcount Detail'!AA16</f>
      </c>
      <c r="Y20" s="7">
        <f>'Headcount Detail'!AB16</f>
      </c>
      <c r="Z20" s="7">
        <f>'Headcount Detail'!AC16</f>
      </c>
      <c r="AA20" s="7">
        <f>'Headcount Detail'!AD16</f>
      </c>
      <c r="AB20" s="7">
        <f>'Headcount Detail'!AE16</f>
      </c>
      <c r="AC20" s="7">
        <f>'Headcount Detail'!AF16</f>
      </c>
      <c r="AD20" s="7">
        <f>'Headcount Detail'!AG16</f>
      </c>
      <c r="AE20" s="7">
        <f>'Headcount Detail'!AH16</f>
      </c>
      <c r="AF20" s="7">
        <f>'Headcount Detail'!AI16</f>
      </c>
      <c r="AG20" s="7">
        <f>'Headcount Detail'!AJ16</f>
      </c>
      <c r="AH20" s="7">
        <f>'Headcount Detail'!AK16</f>
      </c>
      <c r="AI20" s="7">
        <f>'Headcount Detail'!AL16</f>
      </c>
      <c r="AJ20" s="7">
        <f>'Headcount Detail'!AM16</f>
      </c>
    </row>
    <row r="21" spans="1:36" x14ac:dyDescent="0.25" outlineLevel="2" collapsed="1">
      <c r="A21">
        <f>"  "&amp;'Headcount Detail'!A17</f>
      </c>
      <c r="B21" s="7">
        <f>'Headcount Detail'!E17</f>
      </c>
      <c r="C21" s="7">
        <f>'Headcount Detail'!F17</f>
      </c>
      <c r="D21" s="7">
        <f>'Headcount Detail'!G17</f>
      </c>
      <c r="E21" s="7">
        <f>'Headcount Detail'!H17</f>
      </c>
      <c r="F21" s="7">
        <f>'Headcount Detail'!I17</f>
      </c>
      <c r="G21" s="7">
        <f>'Headcount Detail'!J17</f>
      </c>
      <c r="H21" s="7">
        <f>'Headcount Detail'!K17</f>
      </c>
      <c r="I21" s="7">
        <f>'Headcount Detail'!L17</f>
      </c>
      <c r="J21" s="7">
        <f>'Headcount Detail'!M17</f>
      </c>
      <c r="K21" s="7">
        <f>'Headcount Detail'!N17</f>
      </c>
      <c r="L21" s="7">
        <f>'Headcount Detail'!O17</f>
      </c>
      <c r="M21" s="7">
        <f>'Headcount Detail'!P17</f>
      </c>
      <c r="N21" s="7">
        <f>'Headcount Detail'!Q17</f>
      </c>
      <c r="O21" s="7">
        <f>'Headcount Detail'!R17</f>
      </c>
      <c r="P21" s="7">
        <f>'Headcount Detail'!S17</f>
      </c>
      <c r="Q21" s="7">
        <f>'Headcount Detail'!T17</f>
      </c>
      <c r="R21" s="7">
        <f>'Headcount Detail'!U17</f>
      </c>
      <c r="S21" s="7">
        <f>'Headcount Detail'!V17</f>
      </c>
      <c r="T21" s="7">
        <f>'Headcount Detail'!W17</f>
      </c>
      <c r="U21" s="7">
        <f>'Headcount Detail'!X17</f>
      </c>
      <c r="V21" s="7">
        <f>'Headcount Detail'!Y17</f>
      </c>
      <c r="W21" s="7">
        <f>'Headcount Detail'!Z17</f>
      </c>
      <c r="X21" s="7">
        <f>'Headcount Detail'!AA17</f>
      </c>
      <c r="Y21" s="7">
        <f>'Headcount Detail'!AB17</f>
      </c>
      <c r="Z21" s="7">
        <f>'Headcount Detail'!AC17</f>
      </c>
      <c r="AA21" s="7">
        <f>'Headcount Detail'!AD17</f>
      </c>
      <c r="AB21" s="7">
        <f>'Headcount Detail'!AE17</f>
      </c>
      <c r="AC21" s="7">
        <f>'Headcount Detail'!AF17</f>
      </c>
      <c r="AD21" s="7">
        <f>'Headcount Detail'!AG17</f>
      </c>
      <c r="AE21" s="7">
        <f>'Headcount Detail'!AH17</f>
      </c>
      <c r="AF21" s="7">
        <f>'Headcount Detail'!AI17</f>
      </c>
      <c r="AG21" s="7">
        <f>'Headcount Detail'!AJ17</f>
      </c>
      <c r="AH21" s="7">
        <f>'Headcount Detail'!AK17</f>
      </c>
      <c r="AI21" s="7">
        <f>'Headcount Detail'!AL17</f>
      </c>
      <c r="AJ21" s="7">
        <f>'Headcount Detail'!AM17</f>
      </c>
    </row>
    <row r="22" spans="1:36" x14ac:dyDescent="0.25" outlineLevel="2" collapsed="1">
      <c r="A22">
        <f>"  "&amp;'Headcount Detail'!A18</f>
      </c>
      <c r="B22" s="7">
        <f>'Headcount Detail'!E18</f>
      </c>
      <c r="C22" s="7">
        <f>'Headcount Detail'!F18</f>
      </c>
      <c r="D22" s="7">
        <f>'Headcount Detail'!G18</f>
      </c>
      <c r="E22" s="7">
        <f>'Headcount Detail'!H18</f>
      </c>
      <c r="F22" s="7">
        <f>'Headcount Detail'!I18</f>
      </c>
      <c r="G22" s="7">
        <f>'Headcount Detail'!J18</f>
      </c>
      <c r="H22" s="7">
        <f>'Headcount Detail'!K18</f>
      </c>
      <c r="I22" s="7">
        <f>'Headcount Detail'!L18</f>
      </c>
      <c r="J22" s="7">
        <f>'Headcount Detail'!M18</f>
      </c>
      <c r="K22" s="7">
        <f>'Headcount Detail'!N18</f>
      </c>
      <c r="L22" s="7">
        <f>'Headcount Detail'!O18</f>
      </c>
      <c r="M22" s="7">
        <f>'Headcount Detail'!P18</f>
      </c>
      <c r="N22" s="7">
        <f>'Headcount Detail'!Q18</f>
      </c>
      <c r="O22" s="7">
        <f>'Headcount Detail'!R18</f>
      </c>
      <c r="P22" s="7">
        <f>'Headcount Detail'!S18</f>
      </c>
      <c r="Q22" s="7">
        <f>'Headcount Detail'!T18</f>
      </c>
      <c r="R22" s="7">
        <f>'Headcount Detail'!U18</f>
      </c>
      <c r="S22" s="7">
        <f>'Headcount Detail'!V18</f>
      </c>
      <c r="T22" s="7">
        <f>'Headcount Detail'!W18</f>
      </c>
      <c r="U22" s="7">
        <f>'Headcount Detail'!X18</f>
      </c>
      <c r="V22" s="7">
        <f>'Headcount Detail'!Y18</f>
      </c>
      <c r="W22" s="7">
        <f>'Headcount Detail'!Z18</f>
      </c>
      <c r="X22" s="7">
        <f>'Headcount Detail'!AA18</f>
      </c>
      <c r="Y22" s="7">
        <f>'Headcount Detail'!AB18</f>
      </c>
      <c r="Z22" s="7">
        <f>'Headcount Detail'!AC18</f>
      </c>
      <c r="AA22" s="7">
        <f>'Headcount Detail'!AD18</f>
      </c>
      <c r="AB22" s="7">
        <f>'Headcount Detail'!AE18</f>
      </c>
      <c r="AC22" s="7">
        <f>'Headcount Detail'!AF18</f>
      </c>
      <c r="AD22" s="7">
        <f>'Headcount Detail'!AG18</f>
      </c>
      <c r="AE22" s="7">
        <f>'Headcount Detail'!AH18</f>
      </c>
      <c r="AF22" s="7">
        <f>'Headcount Detail'!AI18</f>
      </c>
      <c r="AG22" s="7">
        <f>'Headcount Detail'!AJ18</f>
      </c>
      <c r="AH22" s="7">
        <f>'Headcount Detail'!AK18</f>
      </c>
      <c r="AI22" s="7">
        <f>'Headcount Detail'!AL18</f>
      </c>
      <c r="AJ22" s="7">
        <f>'Headcount Detail'!AM18</f>
      </c>
    </row>
    <row r="23" spans="1:36" x14ac:dyDescent="0.25" outlineLevel="2" collapsed="1">
      <c r="A23">
        <f>"  "&amp;'Headcount Detail'!A19</f>
      </c>
      <c r="B23" s="7">
        <f>'Headcount Detail'!E19</f>
      </c>
      <c r="C23" s="7">
        <f>'Headcount Detail'!F19</f>
      </c>
      <c r="D23" s="7">
        <f>'Headcount Detail'!G19</f>
      </c>
      <c r="E23" s="7">
        <f>'Headcount Detail'!H19</f>
      </c>
      <c r="F23" s="7">
        <f>'Headcount Detail'!I19</f>
      </c>
      <c r="G23" s="7">
        <f>'Headcount Detail'!J19</f>
      </c>
      <c r="H23" s="7">
        <f>'Headcount Detail'!K19</f>
      </c>
      <c r="I23" s="7">
        <f>'Headcount Detail'!L19</f>
      </c>
      <c r="J23" s="7">
        <f>'Headcount Detail'!M19</f>
      </c>
      <c r="K23" s="7">
        <f>'Headcount Detail'!N19</f>
      </c>
      <c r="L23" s="7">
        <f>'Headcount Detail'!O19</f>
      </c>
      <c r="M23" s="7">
        <f>'Headcount Detail'!P19</f>
      </c>
      <c r="N23" s="7">
        <f>'Headcount Detail'!Q19</f>
      </c>
      <c r="O23" s="7">
        <f>'Headcount Detail'!R19</f>
      </c>
      <c r="P23" s="7">
        <f>'Headcount Detail'!S19</f>
      </c>
      <c r="Q23" s="7">
        <f>'Headcount Detail'!T19</f>
      </c>
      <c r="R23" s="7">
        <f>'Headcount Detail'!U19</f>
      </c>
      <c r="S23" s="7">
        <f>'Headcount Detail'!V19</f>
      </c>
      <c r="T23" s="7">
        <f>'Headcount Detail'!W19</f>
      </c>
      <c r="U23" s="7">
        <f>'Headcount Detail'!X19</f>
      </c>
      <c r="V23" s="7">
        <f>'Headcount Detail'!Y19</f>
      </c>
      <c r="W23" s="7">
        <f>'Headcount Detail'!Z19</f>
      </c>
      <c r="X23" s="7">
        <f>'Headcount Detail'!AA19</f>
      </c>
      <c r="Y23" s="7">
        <f>'Headcount Detail'!AB19</f>
      </c>
      <c r="Z23" s="7">
        <f>'Headcount Detail'!AC19</f>
      </c>
      <c r="AA23" s="7">
        <f>'Headcount Detail'!AD19</f>
      </c>
      <c r="AB23" s="7">
        <f>'Headcount Detail'!AE19</f>
      </c>
      <c r="AC23" s="7">
        <f>'Headcount Detail'!AF19</f>
      </c>
      <c r="AD23" s="7">
        <f>'Headcount Detail'!AG19</f>
      </c>
      <c r="AE23" s="7">
        <f>'Headcount Detail'!AH19</f>
      </c>
      <c r="AF23" s="7">
        <f>'Headcount Detail'!AI19</f>
      </c>
      <c r="AG23" s="7">
        <f>'Headcount Detail'!AJ19</f>
      </c>
      <c r="AH23" s="7">
        <f>'Headcount Detail'!AK19</f>
      </c>
      <c r="AI23" s="7">
        <f>'Headcount Detail'!AL19</f>
      </c>
      <c r="AJ23" s="7">
        <f>'Headcount Detail'!AM19</f>
      </c>
    </row>
    <row r="24" spans="1:36" x14ac:dyDescent="0.25" outlineLevel="2" collapsed="1">
      <c r="A24">
        <f>"  "&amp;'Headcount Detail'!A20</f>
      </c>
      <c r="B24" s="7">
        <f>'Headcount Detail'!E20</f>
      </c>
      <c r="C24" s="7">
        <f>'Headcount Detail'!F20</f>
      </c>
      <c r="D24" s="7">
        <f>'Headcount Detail'!G20</f>
      </c>
      <c r="E24" s="7">
        <f>'Headcount Detail'!H20</f>
      </c>
      <c r="F24" s="7">
        <f>'Headcount Detail'!I20</f>
      </c>
      <c r="G24" s="7">
        <f>'Headcount Detail'!J20</f>
      </c>
      <c r="H24" s="7">
        <f>'Headcount Detail'!K20</f>
      </c>
      <c r="I24" s="7">
        <f>'Headcount Detail'!L20</f>
      </c>
      <c r="J24" s="7">
        <f>'Headcount Detail'!M20</f>
      </c>
      <c r="K24" s="7">
        <f>'Headcount Detail'!N20</f>
      </c>
      <c r="L24" s="7">
        <f>'Headcount Detail'!O20</f>
      </c>
      <c r="M24" s="7">
        <f>'Headcount Detail'!P20</f>
      </c>
      <c r="N24" s="7">
        <f>'Headcount Detail'!Q20</f>
      </c>
      <c r="O24" s="7">
        <f>'Headcount Detail'!R20</f>
      </c>
      <c r="P24" s="7">
        <f>'Headcount Detail'!S20</f>
      </c>
      <c r="Q24" s="7">
        <f>'Headcount Detail'!T20</f>
      </c>
      <c r="R24" s="7">
        <f>'Headcount Detail'!U20</f>
      </c>
      <c r="S24" s="7">
        <f>'Headcount Detail'!V20</f>
      </c>
      <c r="T24" s="7">
        <f>'Headcount Detail'!W20</f>
      </c>
      <c r="U24" s="7">
        <f>'Headcount Detail'!X20</f>
      </c>
      <c r="V24" s="7">
        <f>'Headcount Detail'!Y20</f>
      </c>
      <c r="W24" s="7">
        <f>'Headcount Detail'!Z20</f>
      </c>
      <c r="X24" s="7">
        <f>'Headcount Detail'!AA20</f>
      </c>
      <c r="Y24" s="7">
        <f>'Headcount Detail'!AB20</f>
      </c>
      <c r="Z24" s="7">
        <f>'Headcount Detail'!AC20</f>
      </c>
      <c r="AA24" s="7">
        <f>'Headcount Detail'!AD20</f>
      </c>
      <c r="AB24" s="7">
        <f>'Headcount Detail'!AE20</f>
      </c>
      <c r="AC24" s="7">
        <f>'Headcount Detail'!AF20</f>
      </c>
      <c r="AD24" s="7">
        <f>'Headcount Detail'!AG20</f>
      </c>
      <c r="AE24" s="7">
        <f>'Headcount Detail'!AH20</f>
      </c>
      <c r="AF24" s="7">
        <f>'Headcount Detail'!AI20</f>
      </c>
      <c r="AG24" s="7">
        <f>'Headcount Detail'!AJ20</f>
      </c>
      <c r="AH24" s="7">
        <f>'Headcount Detail'!AK20</f>
      </c>
      <c r="AI24" s="7">
        <f>'Headcount Detail'!AL20</f>
      </c>
      <c r="AJ24" s="7">
        <f>'Headcount Detail'!AM20</f>
      </c>
    </row>
    <row r="25" spans="1:36" x14ac:dyDescent="0.25" outlineLevel="2" collapsed="1">
      <c r="A25">
        <f>"  "&amp;'Headcount Detail'!A21</f>
      </c>
      <c r="B25" s="7">
        <f>'Headcount Detail'!E21</f>
      </c>
      <c r="C25" s="7">
        <f>'Headcount Detail'!F21</f>
      </c>
      <c r="D25" s="7">
        <f>'Headcount Detail'!G21</f>
      </c>
      <c r="E25" s="7">
        <f>'Headcount Detail'!H21</f>
      </c>
      <c r="F25" s="7">
        <f>'Headcount Detail'!I21</f>
      </c>
      <c r="G25" s="7">
        <f>'Headcount Detail'!J21</f>
      </c>
      <c r="H25" s="7">
        <f>'Headcount Detail'!K21</f>
      </c>
      <c r="I25" s="7">
        <f>'Headcount Detail'!L21</f>
      </c>
      <c r="J25" s="7">
        <f>'Headcount Detail'!M21</f>
      </c>
      <c r="K25" s="7">
        <f>'Headcount Detail'!N21</f>
      </c>
      <c r="L25" s="7">
        <f>'Headcount Detail'!O21</f>
      </c>
      <c r="M25" s="7">
        <f>'Headcount Detail'!P21</f>
      </c>
      <c r="N25" s="7">
        <f>'Headcount Detail'!Q21</f>
      </c>
      <c r="O25" s="7">
        <f>'Headcount Detail'!R21</f>
      </c>
      <c r="P25" s="7">
        <f>'Headcount Detail'!S21</f>
      </c>
      <c r="Q25" s="7">
        <f>'Headcount Detail'!T21</f>
      </c>
      <c r="R25" s="7">
        <f>'Headcount Detail'!U21</f>
      </c>
      <c r="S25" s="7">
        <f>'Headcount Detail'!V21</f>
      </c>
      <c r="T25" s="7">
        <f>'Headcount Detail'!W21</f>
      </c>
      <c r="U25" s="7">
        <f>'Headcount Detail'!X21</f>
      </c>
      <c r="V25" s="7">
        <f>'Headcount Detail'!Y21</f>
      </c>
      <c r="W25" s="7">
        <f>'Headcount Detail'!Z21</f>
      </c>
      <c r="X25" s="7">
        <f>'Headcount Detail'!AA21</f>
      </c>
      <c r="Y25" s="7">
        <f>'Headcount Detail'!AB21</f>
      </c>
      <c r="Z25" s="7">
        <f>'Headcount Detail'!AC21</f>
      </c>
      <c r="AA25" s="7">
        <f>'Headcount Detail'!AD21</f>
      </c>
      <c r="AB25" s="7">
        <f>'Headcount Detail'!AE21</f>
      </c>
      <c r="AC25" s="7">
        <f>'Headcount Detail'!AF21</f>
      </c>
      <c r="AD25" s="7">
        <f>'Headcount Detail'!AG21</f>
      </c>
      <c r="AE25" s="7">
        <f>'Headcount Detail'!AH21</f>
      </c>
      <c r="AF25" s="7">
        <f>'Headcount Detail'!AI21</f>
      </c>
      <c r="AG25" s="7">
        <f>'Headcount Detail'!AJ21</f>
      </c>
      <c r="AH25" s="7">
        <f>'Headcount Detail'!AK21</f>
      </c>
      <c r="AI25" s="7">
        <f>'Headcount Detail'!AL21</f>
      </c>
      <c r="AJ25" s="7">
        <f>'Headcount Detail'!AM21</f>
      </c>
    </row>
    <row r="26" spans="1:36" x14ac:dyDescent="0.25" outlineLevel="2" collapsed="1">
      <c r="A26">
        <f>"  "&amp;'Headcount Detail'!A22</f>
      </c>
      <c r="B26" s="7">
        <f>'Headcount Detail'!E22</f>
      </c>
      <c r="C26" s="7">
        <f>'Headcount Detail'!F22</f>
      </c>
      <c r="D26" s="7">
        <f>'Headcount Detail'!G22</f>
      </c>
      <c r="E26" s="7">
        <f>'Headcount Detail'!H22</f>
      </c>
      <c r="F26" s="7">
        <f>'Headcount Detail'!I22</f>
      </c>
      <c r="G26" s="7">
        <f>'Headcount Detail'!J22</f>
      </c>
      <c r="H26" s="7">
        <f>'Headcount Detail'!K22</f>
      </c>
      <c r="I26" s="7">
        <f>'Headcount Detail'!L22</f>
      </c>
      <c r="J26" s="7">
        <f>'Headcount Detail'!M22</f>
      </c>
      <c r="K26" s="7">
        <f>'Headcount Detail'!N22</f>
      </c>
      <c r="L26" s="7">
        <f>'Headcount Detail'!O22</f>
      </c>
      <c r="M26" s="7">
        <f>'Headcount Detail'!P22</f>
      </c>
      <c r="N26" s="7">
        <f>'Headcount Detail'!Q22</f>
      </c>
      <c r="O26" s="7">
        <f>'Headcount Detail'!R22</f>
      </c>
      <c r="P26" s="7">
        <f>'Headcount Detail'!S22</f>
      </c>
      <c r="Q26" s="7">
        <f>'Headcount Detail'!T22</f>
      </c>
      <c r="R26" s="7">
        <f>'Headcount Detail'!U22</f>
      </c>
      <c r="S26" s="7">
        <f>'Headcount Detail'!V22</f>
      </c>
      <c r="T26" s="7">
        <f>'Headcount Detail'!W22</f>
      </c>
      <c r="U26" s="7">
        <f>'Headcount Detail'!X22</f>
      </c>
      <c r="V26" s="7">
        <f>'Headcount Detail'!Y22</f>
      </c>
      <c r="W26" s="7">
        <f>'Headcount Detail'!Z22</f>
      </c>
      <c r="X26" s="7">
        <f>'Headcount Detail'!AA22</f>
      </c>
      <c r="Y26" s="7">
        <f>'Headcount Detail'!AB22</f>
      </c>
      <c r="Z26" s="7">
        <f>'Headcount Detail'!AC22</f>
      </c>
      <c r="AA26" s="7">
        <f>'Headcount Detail'!AD22</f>
      </c>
      <c r="AB26" s="7">
        <f>'Headcount Detail'!AE22</f>
      </c>
      <c r="AC26" s="7">
        <f>'Headcount Detail'!AF22</f>
      </c>
      <c r="AD26" s="7">
        <f>'Headcount Detail'!AG22</f>
      </c>
      <c r="AE26" s="7">
        <f>'Headcount Detail'!AH22</f>
      </c>
      <c r="AF26" s="7">
        <f>'Headcount Detail'!AI22</f>
      </c>
      <c r="AG26" s="7">
        <f>'Headcount Detail'!AJ22</f>
      </c>
      <c r="AH26" s="7">
        <f>'Headcount Detail'!AK22</f>
      </c>
      <c r="AI26" s="7">
        <f>'Headcount Detail'!AL22</f>
      </c>
      <c r="AJ26" s="7">
        <f>'Headcount Detail'!AM22</f>
      </c>
    </row>
    <row r="27" spans="1:36" x14ac:dyDescent="0.25" outlineLevel="2" collapsed="1">
      <c r="A27">
        <f>"  "&amp;'Headcount Detail'!A23</f>
      </c>
      <c r="B27" s="7">
        <f>'Headcount Detail'!E23</f>
      </c>
      <c r="C27" s="7">
        <f>'Headcount Detail'!F23</f>
      </c>
      <c r="D27" s="7">
        <f>'Headcount Detail'!G23</f>
      </c>
      <c r="E27" s="7">
        <f>'Headcount Detail'!H23</f>
      </c>
      <c r="F27" s="7">
        <f>'Headcount Detail'!I23</f>
      </c>
      <c r="G27" s="7">
        <f>'Headcount Detail'!J23</f>
      </c>
      <c r="H27" s="7">
        <f>'Headcount Detail'!K23</f>
      </c>
      <c r="I27" s="7">
        <f>'Headcount Detail'!L23</f>
      </c>
      <c r="J27" s="7">
        <f>'Headcount Detail'!M23</f>
      </c>
      <c r="K27" s="7">
        <f>'Headcount Detail'!N23</f>
      </c>
      <c r="L27" s="7">
        <f>'Headcount Detail'!O23</f>
      </c>
      <c r="M27" s="7">
        <f>'Headcount Detail'!P23</f>
      </c>
      <c r="N27" s="7">
        <f>'Headcount Detail'!Q23</f>
      </c>
      <c r="O27" s="7">
        <f>'Headcount Detail'!R23</f>
      </c>
      <c r="P27" s="7">
        <f>'Headcount Detail'!S23</f>
      </c>
      <c r="Q27" s="7">
        <f>'Headcount Detail'!T23</f>
      </c>
      <c r="R27" s="7">
        <f>'Headcount Detail'!U23</f>
      </c>
      <c r="S27" s="7">
        <f>'Headcount Detail'!V23</f>
      </c>
      <c r="T27" s="7">
        <f>'Headcount Detail'!W23</f>
      </c>
      <c r="U27" s="7">
        <f>'Headcount Detail'!X23</f>
      </c>
      <c r="V27" s="7">
        <f>'Headcount Detail'!Y23</f>
      </c>
      <c r="W27" s="7">
        <f>'Headcount Detail'!Z23</f>
      </c>
      <c r="X27" s="7">
        <f>'Headcount Detail'!AA23</f>
      </c>
      <c r="Y27" s="7">
        <f>'Headcount Detail'!AB23</f>
      </c>
      <c r="Z27" s="7">
        <f>'Headcount Detail'!AC23</f>
      </c>
      <c r="AA27" s="7">
        <f>'Headcount Detail'!AD23</f>
      </c>
      <c r="AB27" s="7">
        <f>'Headcount Detail'!AE23</f>
      </c>
      <c r="AC27" s="7">
        <f>'Headcount Detail'!AF23</f>
      </c>
      <c r="AD27" s="7">
        <f>'Headcount Detail'!AG23</f>
      </c>
      <c r="AE27" s="7">
        <f>'Headcount Detail'!AH23</f>
      </c>
      <c r="AF27" s="7">
        <f>'Headcount Detail'!AI23</f>
      </c>
      <c r="AG27" s="7">
        <f>'Headcount Detail'!AJ23</f>
      </c>
      <c r="AH27" s="7">
        <f>'Headcount Detail'!AK23</f>
      </c>
      <c r="AI27" s="7">
        <f>'Headcount Detail'!AL23</f>
      </c>
      <c r="AJ27" s="7">
        <f>'Headcount Detail'!AM23</f>
      </c>
    </row>
    <row r="28" spans="1:36" x14ac:dyDescent="0.25" outlineLevel="2" collapsed="1">
      <c r="A28">
        <f>"  "&amp;'Headcount Detail'!A24</f>
      </c>
      <c r="B28" s="7">
        <f>'Headcount Detail'!E24</f>
      </c>
      <c r="C28" s="7">
        <f>'Headcount Detail'!F24</f>
      </c>
      <c r="D28" s="7">
        <f>'Headcount Detail'!G24</f>
      </c>
      <c r="E28" s="7">
        <f>'Headcount Detail'!H24</f>
      </c>
      <c r="F28" s="7">
        <f>'Headcount Detail'!I24</f>
      </c>
      <c r="G28" s="7">
        <f>'Headcount Detail'!J24</f>
      </c>
      <c r="H28" s="7">
        <f>'Headcount Detail'!K24</f>
      </c>
      <c r="I28" s="7">
        <f>'Headcount Detail'!L24</f>
      </c>
      <c r="J28" s="7">
        <f>'Headcount Detail'!M24</f>
      </c>
      <c r="K28" s="7">
        <f>'Headcount Detail'!N24</f>
      </c>
      <c r="L28" s="7">
        <f>'Headcount Detail'!O24</f>
      </c>
      <c r="M28" s="7">
        <f>'Headcount Detail'!P24</f>
      </c>
      <c r="N28" s="7">
        <f>'Headcount Detail'!Q24</f>
      </c>
      <c r="O28" s="7">
        <f>'Headcount Detail'!R24</f>
      </c>
      <c r="P28" s="7">
        <f>'Headcount Detail'!S24</f>
      </c>
      <c r="Q28" s="7">
        <f>'Headcount Detail'!T24</f>
      </c>
      <c r="R28" s="7">
        <f>'Headcount Detail'!U24</f>
      </c>
      <c r="S28" s="7">
        <f>'Headcount Detail'!V24</f>
      </c>
      <c r="T28" s="7">
        <f>'Headcount Detail'!W24</f>
      </c>
      <c r="U28" s="7">
        <f>'Headcount Detail'!X24</f>
      </c>
      <c r="V28" s="7">
        <f>'Headcount Detail'!Y24</f>
      </c>
      <c r="W28" s="7">
        <f>'Headcount Detail'!Z24</f>
      </c>
      <c r="X28" s="7">
        <f>'Headcount Detail'!AA24</f>
      </c>
      <c r="Y28" s="7">
        <f>'Headcount Detail'!AB24</f>
      </c>
      <c r="Z28" s="7">
        <f>'Headcount Detail'!AC24</f>
      </c>
      <c r="AA28" s="7">
        <f>'Headcount Detail'!AD24</f>
      </c>
      <c r="AB28" s="7">
        <f>'Headcount Detail'!AE24</f>
      </c>
      <c r="AC28" s="7">
        <f>'Headcount Detail'!AF24</f>
      </c>
      <c r="AD28" s="7">
        <f>'Headcount Detail'!AG24</f>
      </c>
      <c r="AE28" s="7">
        <f>'Headcount Detail'!AH24</f>
      </c>
      <c r="AF28" s="7">
        <f>'Headcount Detail'!AI24</f>
      </c>
      <c r="AG28" s="7">
        <f>'Headcount Detail'!AJ24</f>
      </c>
      <c r="AH28" s="7">
        <f>'Headcount Detail'!AK24</f>
      </c>
      <c r="AI28" s="7">
        <f>'Headcount Detail'!AL24</f>
      </c>
      <c r="AJ28" s="7">
        <f>'Headcount Detail'!AM24</f>
      </c>
    </row>
    <row r="29" spans="1:36" x14ac:dyDescent="0.25" outlineLevel="2" collapsed="1">
      <c r="A29">
        <f>"  "&amp;'Headcount Detail'!A25</f>
      </c>
      <c r="B29" s="7">
        <f>'Headcount Detail'!E25</f>
      </c>
      <c r="C29" s="7">
        <f>'Headcount Detail'!F25</f>
      </c>
      <c r="D29" s="7">
        <f>'Headcount Detail'!G25</f>
      </c>
      <c r="E29" s="7">
        <f>'Headcount Detail'!H25</f>
      </c>
      <c r="F29" s="7">
        <f>'Headcount Detail'!I25</f>
      </c>
      <c r="G29" s="7">
        <f>'Headcount Detail'!J25</f>
      </c>
      <c r="H29" s="7">
        <f>'Headcount Detail'!K25</f>
      </c>
      <c r="I29" s="7">
        <f>'Headcount Detail'!L25</f>
      </c>
      <c r="J29" s="7">
        <f>'Headcount Detail'!M25</f>
      </c>
      <c r="K29" s="7">
        <f>'Headcount Detail'!N25</f>
      </c>
      <c r="L29" s="7">
        <f>'Headcount Detail'!O25</f>
      </c>
      <c r="M29" s="7">
        <f>'Headcount Detail'!P25</f>
      </c>
      <c r="N29" s="7">
        <f>'Headcount Detail'!Q25</f>
      </c>
      <c r="O29" s="7">
        <f>'Headcount Detail'!R25</f>
      </c>
      <c r="P29" s="7">
        <f>'Headcount Detail'!S25</f>
      </c>
      <c r="Q29" s="7">
        <f>'Headcount Detail'!T25</f>
      </c>
      <c r="R29" s="7">
        <f>'Headcount Detail'!U25</f>
      </c>
      <c r="S29" s="7">
        <f>'Headcount Detail'!V25</f>
      </c>
      <c r="T29" s="7">
        <f>'Headcount Detail'!W25</f>
      </c>
      <c r="U29" s="7">
        <f>'Headcount Detail'!X25</f>
      </c>
      <c r="V29" s="7">
        <f>'Headcount Detail'!Y25</f>
      </c>
      <c r="W29" s="7">
        <f>'Headcount Detail'!Z25</f>
      </c>
      <c r="X29" s="7">
        <f>'Headcount Detail'!AA25</f>
      </c>
      <c r="Y29" s="7">
        <f>'Headcount Detail'!AB25</f>
      </c>
      <c r="Z29" s="7">
        <f>'Headcount Detail'!AC25</f>
      </c>
      <c r="AA29" s="7">
        <f>'Headcount Detail'!AD25</f>
      </c>
      <c r="AB29" s="7">
        <f>'Headcount Detail'!AE25</f>
      </c>
      <c r="AC29" s="7">
        <f>'Headcount Detail'!AF25</f>
      </c>
      <c r="AD29" s="7">
        <f>'Headcount Detail'!AG25</f>
      </c>
      <c r="AE29" s="7">
        <f>'Headcount Detail'!AH25</f>
      </c>
      <c r="AF29" s="7">
        <f>'Headcount Detail'!AI25</f>
      </c>
      <c r="AG29" s="7">
        <f>'Headcount Detail'!AJ25</f>
      </c>
      <c r="AH29" s="7">
        <f>'Headcount Detail'!AK25</f>
      </c>
      <c r="AI29" s="7">
        <f>'Headcount Detail'!AL25</f>
      </c>
      <c r="AJ29" s="7">
        <f>'Headcount Detail'!AM25</f>
      </c>
    </row>
    <row r="30" spans="1:36" x14ac:dyDescent="0.25" outlineLevel="1" collapsed="1">
      <c r="A30" s="6" t="s">
        <v>48</v>
      </c>
      <c r="B30" s="15">
        <f>'Headcount Detail'!E26</f>
      </c>
      <c r="C30" s="15">
        <f>'Headcount Detail'!F26</f>
      </c>
      <c r="D30" s="15">
        <f>'Headcount Detail'!G26</f>
      </c>
      <c r="E30" s="15">
        <f>'Headcount Detail'!H26</f>
      </c>
      <c r="F30" s="15">
        <f>'Headcount Detail'!I26</f>
      </c>
      <c r="G30" s="15">
        <f>'Headcount Detail'!J26</f>
      </c>
      <c r="H30" s="15">
        <f>'Headcount Detail'!K26</f>
      </c>
      <c r="I30" s="15">
        <f>'Headcount Detail'!L26</f>
      </c>
      <c r="J30" s="15">
        <f>'Headcount Detail'!M26</f>
      </c>
      <c r="K30" s="15">
        <f>'Headcount Detail'!N26</f>
      </c>
      <c r="L30" s="15">
        <f>'Headcount Detail'!O26</f>
      </c>
      <c r="M30" s="15">
        <f>'Headcount Detail'!P26</f>
      </c>
      <c r="N30" s="15">
        <f>'Headcount Detail'!Q26</f>
      </c>
      <c r="O30" s="15">
        <f>'Headcount Detail'!R26</f>
      </c>
      <c r="P30" s="15">
        <f>'Headcount Detail'!S26</f>
      </c>
      <c r="Q30" s="15">
        <f>'Headcount Detail'!T26</f>
      </c>
      <c r="R30" s="15">
        <f>'Headcount Detail'!U26</f>
      </c>
      <c r="S30" s="15">
        <f>'Headcount Detail'!V26</f>
      </c>
      <c r="T30" s="15">
        <f>'Headcount Detail'!W26</f>
      </c>
      <c r="U30" s="15">
        <f>'Headcount Detail'!X26</f>
      </c>
      <c r="V30" s="15">
        <f>'Headcount Detail'!Y26</f>
      </c>
      <c r="W30" s="15">
        <f>'Headcount Detail'!Z26</f>
      </c>
      <c r="X30" s="15">
        <f>'Headcount Detail'!AA26</f>
      </c>
      <c r="Y30" s="15">
        <f>'Headcount Detail'!AB26</f>
      </c>
      <c r="Z30" s="15">
        <f>'Headcount Detail'!AC26</f>
      </c>
      <c r="AA30" s="15">
        <f>'Headcount Detail'!AD26</f>
      </c>
      <c r="AB30" s="15">
        <f>'Headcount Detail'!AE26</f>
      </c>
      <c r="AC30" s="15">
        <f>'Headcount Detail'!AF26</f>
      </c>
      <c r="AD30" s="15">
        <f>'Headcount Detail'!AG26</f>
      </c>
      <c r="AE30" s="15">
        <f>'Headcount Detail'!AH26</f>
      </c>
      <c r="AF30" s="15">
        <f>'Headcount Detail'!AI26</f>
      </c>
      <c r="AG30" s="15">
        <f>'Headcount Detail'!AJ26</f>
      </c>
      <c r="AH30" s="15">
        <f>'Headcount Detail'!AK26</f>
      </c>
      <c r="AI30" s="15">
        <f>'Headcount Detail'!AL26</f>
      </c>
      <c r="AJ30" s="15">
        <f>'Headcount Detail'!AM26</f>
      </c>
    </row>
    <row r="31" spans="1:36" x14ac:dyDescent="0.25" outlineLevel="1" collapsed="1">
      <c r="A31" s="6" t="s">
        <v>49</v>
      </c>
      <c r="B31" s="7">
        <f>'Headcount Detail'!E27</f>
      </c>
      <c r="C31" s="7">
        <f>'Headcount Detail'!F27</f>
      </c>
      <c r="D31" s="7">
        <f>'Headcount Detail'!G27</f>
      </c>
      <c r="E31" s="7">
        <f>'Headcount Detail'!H27</f>
      </c>
      <c r="F31" s="7">
        <f>'Headcount Detail'!I27</f>
      </c>
      <c r="G31" s="7">
        <f>'Headcount Detail'!J27</f>
      </c>
      <c r="H31" s="7">
        <f>'Headcount Detail'!K27</f>
      </c>
      <c r="I31" s="7">
        <f>'Headcount Detail'!L27</f>
      </c>
      <c r="J31" s="7">
        <f>'Headcount Detail'!M27</f>
      </c>
      <c r="K31" s="7">
        <f>'Headcount Detail'!N27</f>
      </c>
      <c r="L31" s="7">
        <f>'Headcount Detail'!O27</f>
      </c>
      <c r="M31" s="7">
        <f>'Headcount Detail'!P27</f>
      </c>
      <c r="N31" s="7">
        <f>'Headcount Detail'!Q27</f>
      </c>
      <c r="O31" s="7">
        <f>'Headcount Detail'!R27</f>
      </c>
      <c r="P31" s="7">
        <f>'Headcount Detail'!S27</f>
      </c>
      <c r="Q31" s="7">
        <f>'Headcount Detail'!T27</f>
      </c>
      <c r="R31" s="7">
        <f>'Headcount Detail'!U27</f>
      </c>
      <c r="S31" s="7">
        <f>'Headcount Detail'!V27</f>
      </c>
      <c r="T31" s="7">
        <f>'Headcount Detail'!W27</f>
      </c>
      <c r="U31" s="7">
        <f>'Headcount Detail'!X27</f>
      </c>
      <c r="V31" s="7">
        <f>'Headcount Detail'!Y27</f>
      </c>
      <c r="W31" s="7">
        <f>'Headcount Detail'!Z27</f>
      </c>
      <c r="X31" s="7">
        <f>'Headcount Detail'!AA27</f>
      </c>
      <c r="Y31" s="7">
        <f>'Headcount Detail'!AB27</f>
      </c>
      <c r="Z31" s="7">
        <f>'Headcount Detail'!AC27</f>
      </c>
      <c r="AA31" s="7">
        <f>'Headcount Detail'!AD27</f>
      </c>
      <c r="AB31" s="7">
        <f>'Headcount Detail'!AE27</f>
      </c>
      <c r="AC31" s="7">
        <f>'Headcount Detail'!AF27</f>
      </c>
      <c r="AD31" s="7">
        <f>'Headcount Detail'!AG27</f>
      </c>
      <c r="AE31" s="7">
        <f>'Headcount Detail'!AH27</f>
      </c>
      <c r="AF31" s="7">
        <f>'Headcount Detail'!AI27</f>
      </c>
      <c r="AG31" s="7">
        <f>'Headcount Detail'!AJ27</f>
      </c>
      <c r="AH31" s="7">
        <f>'Headcount Detail'!AK27</f>
      </c>
      <c r="AI31" s="7">
        <f>'Headcount Detail'!AL27</f>
      </c>
      <c r="AJ31" s="7">
        <f>'Headcount Detail'!AM27</f>
      </c>
    </row>
    <row r="32" spans="1:36" x14ac:dyDescent="0.25" outlineLevel="1" collapsed="1">
      <c r="A32" s="6" t="s">
        <v>50</v>
      </c>
      <c r="B32" s="7">
        <f>'Headcount Detail'!E28</f>
      </c>
      <c r="C32" s="7">
        <f>'Headcount Detail'!F28</f>
      </c>
      <c r="D32" s="7">
        <f>'Headcount Detail'!G28</f>
      </c>
      <c r="E32" s="7">
        <f>'Headcount Detail'!H28</f>
      </c>
      <c r="F32" s="7">
        <f>'Headcount Detail'!I28</f>
      </c>
      <c r="G32" s="7">
        <f>'Headcount Detail'!J28</f>
      </c>
      <c r="H32" s="7">
        <f>'Headcount Detail'!K28</f>
      </c>
      <c r="I32" s="7">
        <f>'Headcount Detail'!L28</f>
      </c>
      <c r="J32" s="7">
        <f>'Headcount Detail'!M28</f>
      </c>
      <c r="K32" s="7">
        <f>'Headcount Detail'!N28</f>
      </c>
      <c r="L32" s="7">
        <f>'Headcount Detail'!O28</f>
      </c>
      <c r="M32" s="7">
        <f>'Headcount Detail'!P28</f>
      </c>
      <c r="N32" s="7">
        <f>'Headcount Detail'!Q28</f>
      </c>
      <c r="O32" s="7">
        <f>'Headcount Detail'!R28</f>
      </c>
      <c r="P32" s="7">
        <f>'Headcount Detail'!S28</f>
      </c>
      <c r="Q32" s="7">
        <f>'Headcount Detail'!T28</f>
      </c>
      <c r="R32" s="7">
        <f>'Headcount Detail'!U28</f>
      </c>
      <c r="S32" s="7">
        <f>'Headcount Detail'!V28</f>
      </c>
      <c r="T32" s="7">
        <f>'Headcount Detail'!W28</f>
      </c>
      <c r="U32" s="7">
        <f>'Headcount Detail'!X28</f>
      </c>
      <c r="V32" s="7">
        <f>'Headcount Detail'!Y28</f>
      </c>
      <c r="W32" s="7">
        <f>'Headcount Detail'!Z28</f>
      </c>
      <c r="X32" s="7">
        <f>'Headcount Detail'!AA28</f>
      </c>
      <c r="Y32" s="7">
        <f>'Headcount Detail'!AB28</f>
      </c>
      <c r="Z32" s="7">
        <f>'Headcount Detail'!AC28</f>
      </c>
      <c r="AA32" s="7">
        <f>'Headcount Detail'!AD28</f>
      </c>
      <c r="AB32" s="7">
        <f>'Headcount Detail'!AE28</f>
      </c>
      <c r="AC32" s="7">
        <f>'Headcount Detail'!AF28</f>
      </c>
      <c r="AD32" s="7">
        <f>'Headcount Detail'!AG28</f>
      </c>
      <c r="AE32" s="7">
        <f>'Headcount Detail'!AH28</f>
      </c>
      <c r="AF32" s="7">
        <f>'Headcount Detail'!AI28</f>
      </c>
      <c r="AG32" s="7">
        <f>'Headcount Detail'!AJ28</f>
      </c>
      <c r="AH32" s="7">
        <f>'Headcount Detail'!AK28</f>
      </c>
      <c r="AI32" s="7">
        <f>'Headcount Detail'!AL28</f>
      </c>
      <c r="AJ32" s="7">
        <f>'Headcount Detail'!AM28</f>
      </c>
    </row>
    <row r="33" spans="1:36" x14ac:dyDescent="0.25">
      <c r="A33" s="16" t="s">
        <v>51</v>
      </c>
      <c r="B33" s="17">
        <f>'Headcount Detail'!E29</f>
      </c>
      <c r="C33" s="17">
        <f>'Headcount Detail'!F29</f>
      </c>
      <c r="D33" s="17">
        <f>'Headcount Detail'!G29</f>
      </c>
      <c r="E33" s="17">
        <f>'Headcount Detail'!H29</f>
      </c>
      <c r="F33" s="17">
        <f>'Headcount Detail'!I29</f>
      </c>
      <c r="G33" s="17">
        <f>'Headcount Detail'!J29</f>
      </c>
      <c r="H33" s="17">
        <f>'Headcount Detail'!K29</f>
      </c>
      <c r="I33" s="17">
        <f>'Headcount Detail'!L29</f>
      </c>
      <c r="J33" s="17">
        <f>'Headcount Detail'!M29</f>
      </c>
      <c r="K33" s="17">
        <f>'Headcount Detail'!N29</f>
      </c>
      <c r="L33" s="17">
        <f>'Headcount Detail'!O29</f>
      </c>
      <c r="M33" s="17">
        <f>'Headcount Detail'!P29</f>
      </c>
      <c r="N33" s="17">
        <f>'Headcount Detail'!Q29</f>
      </c>
      <c r="O33" s="17">
        <f>'Headcount Detail'!R29</f>
      </c>
      <c r="P33" s="17">
        <f>'Headcount Detail'!S29</f>
      </c>
      <c r="Q33" s="17">
        <f>'Headcount Detail'!T29</f>
      </c>
      <c r="R33" s="17">
        <f>'Headcount Detail'!U29</f>
      </c>
      <c r="S33" s="17">
        <f>'Headcount Detail'!V29</f>
      </c>
      <c r="T33" s="17">
        <f>'Headcount Detail'!W29</f>
      </c>
      <c r="U33" s="17">
        <f>'Headcount Detail'!X29</f>
      </c>
      <c r="V33" s="17">
        <f>'Headcount Detail'!Y29</f>
      </c>
      <c r="W33" s="17">
        <f>'Headcount Detail'!Z29</f>
      </c>
      <c r="X33" s="17">
        <f>'Headcount Detail'!AA29</f>
      </c>
      <c r="Y33" s="17">
        <f>'Headcount Detail'!AB29</f>
      </c>
      <c r="Z33" s="17">
        <f>'Headcount Detail'!AC29</f>
      </c>
      <c r="AA33" s="17">
        <f>'Headcount Detail'!AD29</f>
      </c>
      <c r="AB33" s="17">
        <f>'Headcount Detail'!AE29</f>
      </c>
      <c r="AC33" s="17">
        <f>'Headcount Detail'!AF29</f>
      </c>
      <c r="AD33" s="17">
        <f>'Headcount Detail'!AG29</f>
      </c>
      <c r="AE33" s="17">
        <f>'Headcount Detail'!AH29</f>
      </c>
      <c r="AF33" s="17">
        <f>'Headcount Detail'!AI29</f>
      </c>
      <c r="AG33" s="17">
        <f>'Headcount Detail'!AJ29</f>
      </c>
      <c r="AH33" s="17">
        <f>'Headcount Detail'!AK29</f>
      </c>
      <c r="AI33" s="17">
        <f>'Headcount Detail'!AL29</f>
      </c>
      <c r="AJ33" s="17">
        <f>'Headcount Detail'!AM29</f>
      </c>
    </row>
    <row r="34" spans="1:36" x14ac:dyDescent="0.25">
      <c r="A34" s="18" t="s">
        <v>52</v>
      </c>
      <c r="B34" s="11">
        <f>'Headcount Detail'!E30</f>
      </c>
      <c r="C34" s="11">
        <f>'Headcount Detail'!F30</f>
      </c>
      <c r="D34" s="11">
        <f>'Headcount Detail'!G30</f>
      </c>
      <c r="E34" s="11">
        <f>'Headcount Detail'!H30</f>
      </c>
      <c r="F34" s="11">
        <f>'Headcount Detail'!I30</f>
      </c>
      <c r="G34" s="11">
        <f>'Headcount Detail'!J30</f>
      </c>
      <c r="H34" s="11">
        <f>'Headcount Detail'!K30</f>
      </c>
      <c r="I34" s="11">
        <f>'Headcount Detail'!L30</f>
      </c>
      <c r="J34" s="11">
        <f>'Headcount Detail'!M30</f>
      </c>
      <c r="K34" s="11">
        <f>'Headcount Detail'!N30</f>
      </c>
      <c r="L34" s="11">
        <f>'Headcount Detail'!O30</f>
      </c>
      <c r="M34" s="11">
        <f>'Headcount Detail'!P30</f>
      </c>
      <c r="N34" s="11">
        <f>'Headcount Detail'!Q30</f>
      </c>
      <c r="O34" s="11">
        <f>'Headcount Detail'!R30</f>
      </c>
      <c r="P34" s="11">
        <f>'Headcount Detail'!S30</f>
      </c>
      <c r="Q34" s="11">
        <f>'Headcount Detail'!T30</f>
      </c>
      <c r="R34" s="11">
        <f>'Headcount Detail'!U30</f>
      </c>
      <c r="S34" s="11">
        <f>'Headcount Detail'!V30</f>
      </c>
      <c r="T34" s="11">
        <f>'Headcount Detail'!W30</f>
      </c>
      <c r="U34" s="11">
        <f>'Headcount Detail'!X30</f>
      </c>
      <c r="V34" s="11">
        <f>'Headcount Detail'!Y30</f>
      </c>
      <c r="W34" s="11">
        <f>'Headcount Detail'!Z30</f>
      </c>
      <c r="X34" s="11">
        <f>'Headcount Detail'!AA30</f>
      </c>
      <c r="Y34" s="11">
        <f>'Headcount Detail'!AB30</f>
      </c>
      <c r="Z34" s="11">
        <f>'Headcount Detail'!AC30</f>
      </c>
      <c r="AA34" s="11">
        <f>'Headcount Detail'!AD30</f>
      </c>
      <c r="AB34" s="11">
        <f>'Headcount Detail'!AE30</f>
      </c>
      <c r="AC34" s="11">
        <f>'Headcount Detail'!AF30</f>
      </c>
      <c r="AD34" s="11">
        <f>'Headcount Detail'!AG30</f>
      </c>
      <c r="AE34" s="11">
        <f>'Headcount Detail'!AH30</f>
      </c>
      <c r="AF34" s="11">
        <f>'Headcount Detail'!AI30</f>
      </c>
      <c r="AG34" s="11">
        <f>'Headcount Detail'!AJ30</f>
      </c>
      <c r="AH34" s="11">
        <f>'Headcount Detail'!AK30</f>
      </c>
      <c r="AI34" s="11">
        <f>'Headcount Detail'!AL30</f>
      </c>
      <c r="AJ34" s="11">
        <f>'Headcount Detail'!AM30</f>
      </c>
    </row>
    <row r="36" spans="1:1" x14ac:dyDescent="0.25">
      <c r="A36" s="19" t="s">
        <v>53</v>
      </c>
    </row>
    <row r="37" spans="1:36" x14ac:dyDescent="0.25" outlineLevel="1" collapsed="1">
      <c r="A37">
        <f>"  "&amp;'Infrastructure Detail'!A4</f>
      </c>
      <c r="B37" s="7">
        <f>'Infrastructure Detail'!E4</f>
      </c>
      <c r="C37" s="7">
        <f>'Infrastructure Detail'!F4</f>
      </c>
      <c r="D37" s="7">
        <f>'Infrastructure Detail'!G4</f>
      </c>
      <c r="E37" s="7">
        <f>'Infrastructure Detail'!H4</f>
      </c>
      <c r="F37" s="7">
        <f>'Infrastructure Detail'!I4</f>
      </c>
      <c r="G37" s="7">
        <f>'Infrastructure Detail'!J4</f>
      </c>
      <c r="H37" s="7">
        <f>'Infrastructure Detail'!K4</f>
      </c>
      <c r="I37" s="7">
        <f>'Infrastructure Detail'!L4</f>
      </c>
      <c r="J37" s="7">
        <f>'Infrastructure Detail'!M4</f>
      </c>
      <c r="K37" s="7">
        <f>'Infrastructure Detail'!N4</f>
      </c>
      <c r="L37" s="7">
        <f>'Infrastructure Detail'!O4</f>
      </c>
      <c r="M37" s="7">
        <f>'Infrastructure Detail'!P4</f>
      </c>
      <c r="N37" s="7">
        <f>'Infrastructure Detail'!Q4</f>
      </c>
      <c r="O37" s="7">
        <f>'Infrastructure Detail'!R4</f>
      </c>
      <c r="P37" s="7">
        <f>'Infrastructure Detail'!S4</f>
      </c>
      <c r="Q37" s="7">
        <f>'Infrastructure Detail'!T4</f>
      </c>
      <c r="R37" s="7">
        <f>'Infrastructure Detail'!U4</f>
      </c>
      <c r="S37" s="7">
        <f>'Infrastructure Detail'!V4</f>
      </c>
      <c r="T37" s="7">
        <f>'Infrastructure Detail'!W4</f>
      </c>
      <c r="U37" s="7">
        <f>'Infrastructure Detail'!X4</f>
      </c>
      <c r="V37" s="7">
        <f>'Infrastructure Detail'!Y4</f>
      </c>
      <c r="W37" s="7">
        <f>'Infrastructure Detail'!Z4</f>
      </c>
      <c r="X37" s="7">
        <f>'Infrastructure Detail'!AA4</f>
      </c>
      <c r="Y37" s="7">
        <f>'Infrastructure Detail'!AB4</f>
      </c>
      <c r="Z37" s="7">
        <f>'Infrastructure Detail'!AC4</f>
      </c>
      <c r="AA37" s="7">
        <f>'Infrastructure Detail'!AD4</f>
      </c>
      <c r="AB37" s="7">
        <f>'Infrastructure Detail'!AE4</f>
      </c>
      <c r="AC37" s="7">
        <f>'Infrastructure Detail'!AF4</f>
      </c>
      <c r="AD37" s="7">
        <f>'Infrastructure Detail'!AG4</f>
      </c>
      <c r="AE37" s="7">
        <f>'Infrastructure Detail'!AH4</f>
      </c>
      <c r="AF37" s="7">
        <f>'Infrastructure Detail'!AI4</f>
      </c>
      <c r="AG37" s="7">
        <f>'Infrastructure Detail'!AJ4</f>
      </c>
      <c r="AH37" s="7">
        <f>'Infrastructure Detail'!AK4</f>
      </c>
      <c r="AI37" s="7">
        <f>'Infrastructure Detail'!AL4</f>
      </c>
      <c r="AJ37" s="7">
        <f>'Infrastructure Detail'!AM4</f>
      </c>
    </row>
    <row r="38" spans="1:36" x14ac:dyDescent="0.25" outlineLevel="1" collapsed="1">
      <c r="A38">
        <f>"  "&amp;'Infrastructure Detail'!A5</f>
      </c>
      <c r="B38" s="7">
        <f>'Infrastructure Detail'!E5</f>
      </c>
      <c r="C38" s="7">
        <f>'Infrastructure Detail'!F5</f>
      </c>
      <c r="D38" s="7">
        <f>'Infrastructure Detail'!G5</f>
      </c>
      <c r="E38" s="7">
        <f>'Infrastructure Detail'!H5</f>
      </c>
      <c r="F38" s="7">
        <f>'Infrastructure Detail'!I5</f>
      </c>
      <c r="G38" s="7">
        <f>'Infrastructure Detail'!J5</f>
      </c>
      <c r="H38" s="7">
        <f>'Infrastructure Detail'!K5</f>
      </c>
      <c r="I38" s="7">
        <f>'Infrastructure Detail'!L5</f>
      </c>
      <c r="J38" s="7">
        <f>'Infrastructure Detail'!M5</f>
      </c>
      <c r="K38" s="7">
        <f>'Infrastructure Detail'!N5</f>
      </c>
      <c r="L38" s="7">
        <f>'Infrastructure Detail'!O5</f>
      </c>
      <c r="M38" s="7">
        <f>'Infrastructure Detail'!P5</f>
      </c>
      <c r="N38" s="7">
        <f>'Infrastructure Detail'!Q5</f>
      </c>
      <c r="O38" s="7">
        <f>'Infrastructure Detail'!R5</f>
      </c>
      <c r="P38" s="7">
        <f>'Infrastructure Detail'!S5</f>
      </c>
      <c r="Q38" s="7">
        <f>'Infrastructure Detail'!T5</f>
      </c>
      <c r="R38" s="7">
        <f>'Infrastructure Detail'!U5</f>
      </c>
      <c r="S38" s="7">
        <f>'Infrastructure Detail'!V5</f>
      </c>
      <c r="T38" s="7">
        <f>'Infrastructure Detail'!W5</f>
      </c>
      <c r="U38" s="7">
        <f>'Infrastructure Detail'!X5</f>
      </c>
      <c r="V38" s="7">
        <f>'Infrastructure Detail'!Y5</f>
      </c>
      <c r="W38" s="7">
        <f>'Infrastructure Detail'!Z5</f>
      </c>
      <c r="X38" s="7">
        <f>'Infrastructure Detail'!AA5</f>
      </c>
      <c r="Y38" s="7">
        <f>'Infrastructure Detail'!AB5</f>
      </c>
      <c r="Z38" s="7">
        <f>'Infrastructure Detail'!AC5</f>
      </c>
      <c r="AA38" s="7">
        <f>'Infrastructure Detail'!AD5</f>
      </c>
      <c r="AB38" s="7">
        <f>'Infrastructure Detail'!AE5</f>
      </c>
      <c r="AC38" s="7">
        <f>'Infrastructure Detail'!AF5</f>
      </c>
      <c r="AD38" s="7">
        <f>'Infrastructure Detail'!AG5</f>
      </c>
      <c r="AE38" s="7">
        <f>'Infrastructure Detail'!AH5</f>
      </c>
      <c r="AF38" s="7">
        <f>'Infrastructure Detail'!AI5</f>
      </c>
      <c r="AG38" s="7">
        <f>'Infrastructure Detail'!AJ5</f>
      </c>
      <c r="AH38" s="7">
        <f>'Infrastructure Detail'!AK5</f>
      </c>
      <c r="AI38" s="7">
        <f>'Infrastructure Detail'!AL5</f>
      </c>
      <c r="AJ38" s="7">
        <f>'Infrastructure Detail'!AM5</f>
      </c>
    </row>
    <row r="39" spans="1:36" x14ac:dyDescent="0.25" outlineLevel="1" collapsed="1">
      <c r="A39">
        <f>"  "&amp;'Infrastructure Detail'!A6</f>
      </c>
      <c r="B39" s="7">
        <f>'Infrastructure Detail'!E6</f>
      </c>
      <c r="C39" s="7">
        <f>'Infrastructure Detail'!F6</f>
      </c>
      <c r="D39" s="7">
        <f>'Infrastructure Detail'!G6</f>
      </c>
      <c r="E39" s="7">
        <f>'Infrastructure Detail'!H6</f>
      </c>
      <c r="F39" s="7">
        <f>'Infrastructure Detail'!I6</f>
      </c>
      <c r="G39" s="7">
        <f>'Infrastructure Detail'!J6</f>
      </c>
      <c r="H39" s="7">
        <f>'Infrastructure Detail'!K6</f>
      </c>
      <c r="I39" s="7">
        <f>'Infrastructure Detail'!L6</f>
      </c>
      <c r="J39" s="7">
        <f>'Infrastructure Detail'!M6</f>
      </c>
      <c r="K39" s="7">
        <f>'Infrastructure Detail'!N6</f>
      </c>
      <c r="L39" s="7">
        <f>'Infrastructure Detail'!O6</f>
      </c>
      <c r="M39" s="7">
        <f>'Infrastructure Detail'!P6</f>
      </c>
      <c r="N39" s="7">
        <f>'Infrastructure Detail'!Q6</f>
      </c>
      <c r="O39" s="7">
        <f>'Infrastructure Detail'!R6</f>
      </c>
      <c r="P39" s="7">
        <f>'Infrastructure Detail'!S6</f>
      </c>
      <c r="Q39" s="7">
        <f>'Infrastructure Detail'!T6</f>
      </c>
      <c r="R39" s="7">
        <f>'Infrastructure Detail'!U6</f>
      </c>
      <c r="S39" s="7">
        <f>'Infrastructure Detail'!V6</f>
      </c>
      <c r="T39" s="7">
        <f>'Infrastructure Detail'!W6</f>
      </c>
      <c r="U39" s="7">
        <f>'Infrastructure Detail'!X6</f>
      </c>
      <c r="V39" s="7">
        <f>'Infrastructure Detail'!Y6</f>
      </c>
      <c r="W39" s="7">
        <f>'Infrastructure Detail'!Z6</f>
      </c>
      <c r="X39" s="7">
        <f>'Infrastructure Detail'!AA6</f>
      </c>
      <c r="Y39" s="7">
        <f>'Infrastructure Detail'!AB6</f>
      </c>
      <c r="Z39" s="7">
        <f>'Infrastructure Detail'!AC6</f>
      </c>
      <c r="AA39" s="7">
        <f>'Infrastructure Detail'!AD6</f>
      </c>
      <c r="AB39" s="7">
        <f>'Infrastructure Detail'!AE6</f>
      </c>
      <c r="AC39" s="7">
        <f>'Infrastructure Detail'!AF6</f>
      </c>
      <c r="AD39" s="7">
        <f>'Infrastructure Detail'!AG6</f>
      </c>
      <c r="AE39" s="7">
        <f>'Infrastructure Detail'!AH6</f>
      </c>
      <c r="AF39" s="7">
        <f>'Infrastructure Detail'!AI6</f>
      </c>
      <c r="AG39" s="7">
        <f>'Infrastructure Detail'!AJ6</f>
      </c>
      <c r="AH39" s="7">
        <f>'Infrastructure Detail'!AK6</f>
      </c>
      <c r="AI39" s="7">
        <f>'Infrastructure Detail'!AL6</f>
      </c>
      <c r="AJ39" s="7">
        <f>'Infrastructure Detail'!AM6</f>
      </c>
    </row>
    <row r="40" spans="1:36" x14ac:dyDescent="0.25" outlineLevel="1" collapsed="1">
      <c r="A40">
        <f>"  "&amp;'Infrastructure Detail'!A7</f>
      </c>
      <c r="B40" s="7">
        <f>'Infrastructure Detail'!E7</f>
      </c>
      <c r="C40" s="7">
        <f>'Infrastructure Detail'!F7</f>
      </c>
      <c r="D40" s="7">
        <f>'Infrastructure Detail'!G7</f>
      </c>
      <c r="E40" s="7">
        <f>'Infrastructure Detail'!H7</f>
      </c>
      <c r="F40" s="7">
        <f>'Infrastructure Detail'!I7</f>
      </c>
      <c r="G40" s="7">
        <f>'Infrastructure Detail'!J7</f>
      </c>
      <c r="H40" s="7">
        <f>'Infrastructure Detail'!K7</f>
      </c>
      <c r="I40" s="7">
        <f>'Infrastructure Detail'!L7</f>
      </c>
      <c r="J40" s="7">
        <f>'Infrastructure Detail'!M7</f>
      </c>
      <c r="K40" s="7">
        <f>'Infrastructure Detail'!N7</f>
      </c>
      <c r="L40" s="7">
        <f>'Infrastructure Detail'!O7</f>
      </c>
      <c r="M40" s="7">
        <f>'Infrastructure Detail'!P7</f>
      </c>
      <c r="N40" s="7">
        <f>'Infrastructure Detail'!Q7</f>
      </c>
      <c r="O40" s="7">
        <f>'Infrastructure Detail'!R7</f>
      </c>
      <c r="P40" s="7">
        <f>'Infrastructure Detail'!S7</f>
      </c>
      <c r="Q40" s="7">
        <f>'Infrastructure Detail'!T7</f>
      </c>
      <c r="R40" s="7">
        <f>'Infrastructure Detail'!U7</f>
      </c>
      <c r="S40" s="7">
        <f>'Infrastructure Detail'!V7</f>
      </c>
      <c r="T40" s="7">
        <f>'Infrastructure Detail'!W7</f>
      </c>
      <c r="U40" s="7">
        <f>'Infrastructure Detail'!X7</f>
      </c>
      <c r="V40" s="7">
        <f>'Infrastructure Detail'!Y7</f>
      </c>
      <c r="W40" s="7">
        <f>'Infrastructure Detail'!Z7</f>
      </c>
      <c r="X40" s="7">
        <f>'Infrastructure Detail'!AA7</f>
      </c>
      <c r="Y40" s="7">
        <f>'Infrastructure Detail'!AB7</f>
      </c>
      <c r="Z40" s="7">
        <f>'Infrastructure Detail'!AC7</f>
      </c>
      <c r="AA40" s="7">
        <f>'Infrastructure Detail'!AD7</f>
      </c>
      <c r="AB40" s="7">
        <f>'Infrastructure Detail'!AE7</f>
      </c>
      <c r="AC40" s="7">
        <f>'Infrastructure Detail'!AF7</f>
      </c>
      <c r="AD40" s="7">
        <f>'Infrastructure Detail'!AG7</f>
      </c>
      <c r="AE40" s="7">
        <f>'Infrastructure Detail'!AH7</f>
      </c>
      <c r="AF40" s="7">
        <f>'Infrastructure Detail'!AI7</f>
      </c>
      <c r="AG40" s="7">
        <f>'Infrastructure Detail'!AJ7</f>
      </c>
      <c r="AH40" s="7">
        <f>'Infrastructure Detail'!AK7</f>
      </c>
      <c r="AI40" s="7">
        <f>'Infrastructure Detail'!AL7</f>
      </c>
      <c r="AJ40" s="7">
        <f>'Infrastructure Detail'!AM7</f>
      </c>
    </row>
    <row r="41" spans="1:36" x14ac:dyDescent="0.25" outlineLevel="1" collapsed="1">
      <c r="A41">
        <f>"  "&amp;'Infrastructure Detail'!A8</f>
      </c>
      <c r="B41" s="7">
        <f>'Infrastructure Detail'!E8</f>
      </c>
      <c r="C41" s="7">
        <f>'Infrastructure Detail'!F8</f>
      </c>
      <c r="D41" s="7">
        <f>'Infrastructure Detail'!G8</f>
      </c>
      <c r="E41" s="7">
        <f>'Infrastructure Detail'!H8</f>
      </c>
      <c r="F41" s="7">
        <f>'Infrastructure Detail'!I8</f>
      </c>
      <c r="G41" s="7">
        <f>'Infrastructure Detail'!J8</f>
      </c>
      <c r="H41" s="7">
        <f>'Infrastructure Detail'!K8</f>
      </c>
      <c r="I41" s="7">
        <f>'Infrastructure Detail'!L8</f>
      </c>
      <c r="J41" s="7">
        <f>'Infrastructure Detail'!M8</f>
      </c>
      <c r="K41" s="7">
        <f>'Infrastructure Detail'!N8</f>
      </c>
      <c r="L41" s="7">
        <f>'Infrastructure Detail'!O8</f>
      </c>
      <c r="M41" s="7">
        <f>'Infrastructure Detail'!P8</f>
      </c>
      <c r="N41" s="7">
        <f>'Infrastructure Detail'!Q8</f>
      </c>
      <c r="O41" s="7">
        <f>'Infrastructure Detail'!R8</f>
      </c>
      <c r="P41" s="7">
        <f>'Infrastructure Detail'!S8</f>
      </c>
      <c r="Q41" s="7">
        <f>'Infrastructure Detail'!T8</f>
      </c>
      <c r="R41" s="7">
        <f>'Infrastructure Detail'!U8</f>
      </c>
      <c r="S41" s="7">
        <f>'Infrastructure Detail'!V8</f>
      </c>
      <c r="T41" s="7">
        <f>'Infrastructure Detail'!W8</f>
      </c>
      <c r="U41" s="7">
        <f>'Infrastructure Detail'!X8</f>
      </c>
      <c r="V41" s="7">
        <f>'Infrastructure Detail'!Y8</f>
      </c>
      <c r="W41" s="7">
        <f>'Infrastructure Detail'!Z8</f>
      </c>
      <c r="X41" s="7">
        <f>'Infrastructure Detail'!AA8</f>
      </c>
      <c r="Y41" s="7">
        <f>'Infrastructure Detail'!AB8</f>
      </c>
      <c r="Z41" s="7">
        <f>'Infrastructure Detail'!AC8</f>
      </c>
      <c r="AA41" s="7">
        <f>'Infrastructure Detail'!AD8</f>
      </c>
      <c r="AB41" s="7">
        <f>'Infrastructure Detail'!AE8</f>
      </c>
      <c r="AC41" s="7">
        <f>'Infrastructure Detail'!AF8</f>
      </c>
      <c r="AD41" s="7">
        <f>'Infrastructure Detail'!AG8</f>
      </c>
      <c r="AE41" s="7">
        <f>'Infrastructure Detail'!AH8</f>
      </c>
      <c r="AF41" s="7">
        <f>'Infrastructure Detail'!AI8</f>
      </c>
      <c r="AG41" s="7">
        <f>'Infrastructure Detail'!AJ8</f>
      </c>
      <c r="AH41" s="7">
        <f>'Infrastructure Detail'!AK8</f>
      </c>
      <c r="AI41" s="7">
        <f>'Infrastructure Detail'!AL8</f>
      </c>
      <c r="AJ41" s="7">
        <f>'Infrastructure Detail'!AM8</f>
      </c>
    </row>
    <row r="42" spans="1:36" x14ac:dyDescent="0.25" outlineLevel="1" collapsed="1">
      <c r="A42">
        <f>"  "&amp;'Infrastructure Detail'!A9</f>
      </c>
      <c r="B42" s="7">
        <f>'Infrastructure Detail'!E9</f>
      </c>
      <c r="C42" s="7">
        <f>'Infrastructure Detail'!F9</f>
      </c>
      <c r="D42" s="7">
        <f>'Infrastructure Detail'!G9</f>
      </c>
      <c r="E42" s="7">
        <f>'Infrastructure Detail'!H9</f>
      </c>
      <c r="F42" s="7">
        <f>'Infrastructure Detail'!I9</f>
      </c>
      <c r="G42" s="7">
        <f>'Infrastructure Detail'!J9</f>
      </c>
      <c r="H42" s="7">
        <f>'Infrastructure Detail'!K9</f>
      </c>
      <c r="I42" s="7">
        <f>'Infrastructure Detail'!L9</f>
      </c>
      <c r="J42" s="7">
        <f>'Infrastructure Detail'!M9</f>
      </c>
      <c r="K42" s="7">
        <f>'Infrastructure Detail'!N9</f>
      </c>
      <c r="L42" s="7">
        <f>'Infrastructure Detail'!O9</f>
      </c>
      <c r="M42" s="7">
        <f>'Infrastructure Detail'!P9</f>
      </c>
      <c r="N42" s="7">
        <f>'Infrastructure Detail'!Q9</f>
      </c>
      <c r="O42" s="7">
        <f>'Infrastructure Detail'!R9</f>
      </c>
      <c r="P42" s="7">
        <f>'Infrastructure Detail'!S9</f>
      </c>
      <c r="Q42" s="7">
        <f>'Infrastructure Detail'!T9</f>
      </c>
      <c r="R42" s="7">
        <f>'Infrastructure Detail'!U9</f>
      </c>
      <c r="S42" s="7">
        <f>'Infrastructure Detail'!V9</f>
      </c>
      <c r="T42" s="7">
        <f>'Infrastructure Detail'!W9</f>
      </c>
      <c r="U42" s="7">
        <f>'Infrastructure Detail'!X9</f>
      </c>
      <c r="V42" s="7">
        <f>'Infrastructure Detail'!Y9</f>
      </c>
      <c r="W42" s="7">
        <f>'Infrastructure Detail'!Z9</f>
      </c>
      <c r="X42" s="7">
        <f>'Infrastructure Detail'!AA9</f>
      </c>
      <c r="Y42" s="7">
        <f>'Infrastructure Detail'!AB9</f>
      </c>
      <c r="Z42" s="7">
        <f>'Infrastructure Detail'!AC9</f>
      </c>
      <c r="AA42" s="7">
        <f>'Infrastructure Detail'!AD9</f>
      </c>
      <c r="AB42" s="7">
        <f>'Infrastructure Detail'!AE9</f>
      </c>
      <c r="AC42" s="7">
        <f>'Infrastructure Detail'!AF9</f>
      </c>
      <c r="AD42" s="7">
        <f>'Infrastructure Detail'!AG9</f>
      </c>
      <c r="AE42" s="7">
        <f>'Infrastructure Detail'!AH9</f>
      </c>
      <c r="AF42" s="7">
        <f>'Infrastructure Detail'!AI9</f>
      </c>
      <c r="AG42" s="7">
        <f>'Infrastructure Detail'!AJ9</f>
      </c>
      <c r="AH42" s="7">
        <f>'Infrastructure Detail'!AK9</f>
      </c>
      <c r="AI42" s="7">
        <f>'Infrastructure Detail'!AL9</f>
      </c>
      <c r="AJ42" s="7">
        <f>'Infrastructure Detail'!AM9</f>
      </c>
    </row>
    <row r="43" spans="1:36" x14ac:dyDescent="0.25" outlineLevel="1" collapsed="1">
      <c r="A43">
        <f>"  "&amp;'Infrastructure Detail'!A10</f>
      </c>
      <c r="B43" s="7">
        <f>'Infrastructure Detail'!E10</f>
      </c>
      <c r="C43" s="7">
        <f>'Infrastructure Detail'!F10</f>
      </c>
      <c r="D43" s="7">
        <f>'Infrastructure Detail'!G10</f>
      </c>
      <c r="E43" s="7">
        <f>'Infrastructure Detail'!H10</f>
      </c>
      <c r="F43" s="7">
        <f>'Infrastructure Detail'!I10</f>
      </c>
      <c r="G43" s="7">
        <f>'Infrastructure Detail'!J10</f>
      </c>
      <c r="H43" s="7">
        <f>'Infrastructure Detail'!K10</f>
      </c>
      <c r="I43" s="7">
        <f>'Infrastructure Detail'!L10</f>
      </c>
      <c r="J43" s="7">
        <f>'Infrastructure Detail'!M10</f>
      </c>
      <c r="K43" s="7">
        <f>'Infrastructure Detail'!N10</f>
      </c>
      <c r="L43" s="7">
        <f>'Infrastructure Detail'!O10</f>
      </c>
      <c r="M43" s="7">
        <f>'Infrastructure Detail'!P10</f>
      </c>
      <c r="N43" s="7">
        <f>'Infrastructure Detail'!Q10</f>
      </c>
      <c r="O43" s="7">
        <f>'Infrastructure Detail'!R10</f>
      </c>
      <c r="P43" s="7">
        <f>'Infrastructure Detail'!S10</f>
      </c>
      <c r="Q43" s="7">
        <f>'Infrastructure Detail'!T10</f>
      </c>
      <c r="R43" s="7">
        <f>'Infrastructure Detail'!U10</f>
      </c>
      <c r="S43" s="7">
        <f>'Infrastructure Detail'!V10</f>
      </c>
      <c r="T43" s="7">
        <f>'Infrastructure Detail'!W10</f>
      </c>
      <c r="U43" s="7">
        <f>'Infrastructure Detail'!X10</f>
      </c>
      <c r="V43" s="7">
        <f>'Infrastructure Detail'!Y10</f>
      </c>
      <c r="W43" s="7">
        <f>'Infrastructure Detail'!Z10</f>
      </c>
      <c r="X43" s="7">
        <f>'Infrastructure Detail'!AA10</f>
      </c>
      <c r="Y43" s="7">
        <f>'Infrastructure Detail'!AB10</f>
      </c>
      <c r="Z43" s="7">
        <f>'Infrastructure Detail'!AC10</f>
      </c>
      <c r="AA43" s="7">
        <f>'Infrastructure Detail'!AD10</f>
      </c>
      <c r="AB43" s="7">
        <f>'Infrastructure Detail'!AE10</f>
      </c>
      <c r="AC43" s="7">
        <f>'Infrastructure Detail'!AF10</f>
      </c>
      <c r="AD43" s="7">
        <f>'Infrastructure Detail'!AG10</f>
      </c>
      <c r="AE43" s="7">
        <f>'Infrastructure Detail'!AH10</f>
      </c>
      <c r="AF43" s="7">
        <f>'Infrastructure Detail'!AI10</f>
      </c>
      <c r="AG43" s="7">
        <f>'Infrastructure Detail'!AJ10</f>
      </c>
      <c r="AH43" s="7">
        <f>'Infrastructure Detail'!AK10</f>
      </c>
      <c r="AI43" s="7">
        <f>'Infrastructure Detail'!AL10</f>
      </c>
      <c r="AJ43" s="7">
        <f>'Infrastructure Detail'!AM10</f>
      </c>
    </row>
    <row r="44" spans="1:36" x14ac:dyDescent="0.25" outlineLevel="1" collapsed="1">
      <c r="A44">
        <f>"  "&amp;'Infrastructure Detail'!A11</f>
      </c>
      <c r="B44" s="7">
        <f>'Infrastructure Detail'!E11</f>
      </c>
      <c r="C44" s="7">
        <f>'Infrastructure Detail'!F11</f>
      </c>
      <c r="D44" s="7">
        <f>'Infrastructure Detail'!G11</f>
      </c>
      <c r="E44" s="7">
        <f>'Infrastructure Detail'!H11</f>
      </c>
      <c r="F44" s="7">
        <f>'Infrastructure Detail'!I11</f>
      </c>
      <c r="G44" s="7">
        <f>'Infrastructure Detail'!J11</f>
      </c>
      <c r="H44" s="7">
        <f>'Infrastructure Detail'!K11</f>
      </c>
      <c r="I44" s="7">
        <f>'Infrastructure Detail'!L11</f>
      </c>
      <c r="J44" s="7">
        <f>'Infrastructure Detail'!M11</f>
      </c>
      <c r="K44" s="7">
        <f>'Infrastructure Detail'!N11</f>
      </c>
      <c r="L44" s="7">
        <f>'Infrastructure Detail'!O11</f>
      </c>
      <c r="M44" s="7">
        <f>'Infrastructure Detail'!P11</f>
      </c>
      <c r="N44" s="7">
        <f>'Infrastructure Detail'!Q11</f>
      </c>
      <c r="O44" s="7">
        <f>'Infrastructure Detail'!R11</f>
      </c>
      <c r="P44" s="7">
        <f>'Infrastructure Detail'!S11</f>
      </c>
      <c r="Q44" s="7">
        <f>'Infrastructure Detail'!T11</f>
      </c>
      <c r="R44" s="7">
        <f>'Infrastructure Detail'!U11</f>
      </c>
      <c r="S44" s="7">
        <f>'Infrastructure Detail'!V11</f>
      </c>
      <c r="T44" s="7">
        <f>'Infrastructure Detail'!W11</f>
      </c>
      <c r="U44" s="7">
        <f>'Infrastructure Detail'!X11</f>
      </c>
      <c r="V44" s="7">
        <f>'Infrastructure Detail'!Y11</f>
      </c>
      <c r="W44" s="7">
        <f>'Infrastructure Detail'!Z11</f>
      </c>
      <c r="X44" s="7">
        <f>'Infrastructure Detail'!AA11</f>
      </c>
      <c r="Y44" s="7">
        <f>'Infrastructure Detail'!AB11</f>
      </c>
      <c r="Z44" s="7">
        <f>'Infrastructure Detail'!AC11</f>
      </c>
      <c r="AA44" s="7">
        <f>'Infrastructure Detail'!AD11</f>
      </c>
      <c r="AB44" s="7">
        <f>'Infrastructure Detail'!AE11</f>
      </c>
      <c r="AC44" s="7">
        <f>'Infrastructure Detail'!AF11</f>
      </c>
      <c r="AD44" s="7">
        <f>'Infrastructure Detail'!AG11</f>
      </c>
      <c r="AE44" s="7">
        <f>'Infrastructure Detail'!AH11</f>
      </c>
      <c r="AF44" s="7">
        <f>'Infrastructure Detail'!AI11</f>
      </c>
      <c r="AG44" s="7">
        <f>'Infrastructure Detail'!AJ11</f>
      </c>
      <c r="AH44" s="7">
        <f>'Infrastructure Detail'!AK11</f>
      </c>
      <c r="AI44" s="7">
        <f>'Infrastructure Detail'!AL11</f>
      </c>
      <c r="AJ44" s="7">
        <f>'Infrastructure Detail'!AM11</f>
      </c>
    </row>
    <row r="45" spans="1:36" x14ac:dyDescent="0.25" outlineLevel="1" collapsed="1">
      <c r="A45">
        <f>"  "&amp;'Infrastructure Detail'!A12</f>
      </c>
      <c r="B45" s="7">
        <f>'Infrastructure Detail'!E12</f>
      </c>
      <c r="C45" s="7">
        <f>'Infrastructure Detail'!F12</f>
      </c>
      <c r="D45" s="7">
        <f>'Infrastructure Detail'!G12</f>
      </c>
      <c r="E45" s="7">
        <f>'Infrastructure Detail'!H12</f>
      </c>
      <c r="F45" s="7">
        <f>'Infrastructure Detail'!I12</f>
      </c>
      <c r="G45" s="7">
        <f>'Infrastructure Detail'!J12</f>
      </c>
      <c r="H45" s="7">
        <f>'Infrastructure Detail'!K12</f>
      </c>
      <c r="I45" s="7">
        <f>'Infrastructure Detail'!L12</f>
      </c>
      <c r="J45" s="7">
        <f>'Infrastructure Detail'!M12</f>
      </c>
      <c r="K45" s="7">
        <f>'Infrastructure Detail'!N12</f>
      </c>
      <c r="L45" s="7">
        <f>'Infrastructure Detail'!O12</f>
      </c>
      <c r="M45" s="7">
        <f>'Infrastructure Detail'!P12</f>
      </c>
      <c r="N45" s="7">
        <f>'Infrastructure Detail'!Q12</f>
      </c>
      <c r="O45" s="7">
        <f>'Infrastructure Detail'!R12</f>
      </c>
      <c r="P45" s="7">
        <f>'Infrastructure Detail'!S12</f>
      </c>
      <c r="Q45" s="7">
        <f>'Infrastructure Detail'!T12</f>
      </c>
      <c r="R45" s="7">
        <f>'Infrastructure Detail'!U12</f>
      </c>
      <c r="S45" s="7">
        <f>'Infrastructure Detail'!V12</f>
      </c>
      <c r="T45" s="7">
        <f>'Infrastructure Detail'!W12</f>
      </c>
      <c r="U45" s="7">
        <f>'Infrastructure Detail'!X12</f>
      </c>
      <c r="V45" s="7">
        <f>'Infrastructure Detail'!Y12</f>
      </c>
      <c r="W45" s="7">
        <f>'Infrastructure Detail'!Z12</f>
      </c>
      <c r="X45" s="7">
        <f>'Infrastructure Detail'!AA12</f>
      </c>
      <c r="Y45" s="7">
        <f>'Infrastructure Detail'!AB12</f>
      </c>
      <c r="Z45" s="7">
        <f>'Infrastructure Detail'!AC12</f>
      </c>
      <c r="AA45" s="7">
        <f>'Infrastructure Detail'!AD12</f>
      </c>
      <c r="AB45" s="7">
        <f>'Infrastructure Detail'!AE12</f>
      </c>
      <c r="AC45" s="7">
        <f>'Infrastructure Detail'!AF12</f>
      </c>
      <c r="AD45" s="7">
        <f>'Infrastructure Detail'!AG12</f>
      </c>
      <c r="AE45" s="7">
        <f>'Infrastructure Detail'!AH12</f>
      </c>
      <c r="AF45" s="7">
        <f>'Infrastructure Detail'!AI12</f>
      </c>
      <c r="AG45" s="7">
        <f>'Infrastructure Detail'!AJ12</f>
      </c>
      <c r="AH45" s="7">
        <f>'Infrastructure Detail'!AK12</f>
      </c>
      <c r="AI45" s="7">
        <f>'Infrastructure Detail'!AL12</f>
      </c>
      <c r="AJ45" s="7">
        <f>'Infrastructure Detail'!AM12</f>
      </c>
    </row>
    <row r="46" spans="1:36" x14ac:dyDescent="0.25" outlineLevel="1" collapsed="1">
      <c r="A46">
        <f>"  "&amp;'Infrastructure Detail'!A13</f>
      </c>
      <c r="B46" s="7">
        <f>'Infrastructure Detail'!E13</f>
      </c>
      <c r="C46" s="7">
        <f>'Infrastructure Detail'!F13</f>
      </c>
      <c r="D46" s="7">
        <f>'Infrastructure Detail'!G13</f>
      </c>
      <c r="E46" s="7">
        <f>'Infrastructure Detail'!H13</f>
      </c>
      <c r="F46" s="7">
        <f>'Infrastructure Detail'!I13</f>
      </c>
      <c r="G46" s="7">
        <f>'Infrastructure Detail'!J13</f>
      </c>
      <c r="H46" s="7">
        <f>'Infrastructure Detail'!K13</f>
      </c>
      <c r="I46" s="7">
        <f>'Infrastructure Detail'!L13</f>
      </c>
      <c r="J46" s="7">
        <f>'Infrastructure Detail'!M13</f>
      </c>
      <c r="K46" s="7">
        <f>'Infrastructure Detail'!N13</f>
      </c>
      <c r="L46" s="7">
        <f>'Infrastructure Detail'!O13</f>
      </c>
      <c r="M46" s="7">
        <f>'Infrastructure Detail'!P13</f>
      </c>
      <c r="N46" s="7">
        <f>'Infrastructure Detail'!Q13</f>
      </c>
      <c r="O46" s="7">
        <f>'Infrastructure Detail'!R13</f>
      </c>
      <c r="P46" s="7">
        <f>'Infrastructure Detail'!S13</f>
      </c>
      <c r="Q46" s="7">
        <f>'Infrastructure Detail'!T13</f>
      </c>
      <c r="R46" s="7">
        <f>'Infrastructure Detail'!U13</f>
      </c>
      <c r="S46" s="7">
        <f>'Infrastructure Detail'!V13</f>
      </c>
      <c r="T46" s="7">
        <f>'Infrastructure Detail'!W13</f>
      </c>
      <c r="U46" s="7">
        <f>'Infrastructure Detail'!X13</f>
      </c>
      <c r="V46" s="7">
        <f>'Infrastructure Detail'!Y13</f>
      </c>
      <c r="W46" s="7">
        <f>'Infrastructure Detail'!Z13</f>
      </c>
      <c r="X46" s="7">
        <f>'Infrastructure Detail'!AA13</f>
      </c>
      <c r="Y46" s="7">
        <f>'Infrastructure Detail'!AB13</f>
      </c>
      <c r="Z46" s="7">
        <f>'Infrastructure Detail'!AC13</f>
      </c>
      <c r="AA46" s="7">
        <f>'Infrastructure Detail'!AD13</f>
      </c>
      <c r="AB46" s="7">
        <f>'Infrastructure Detail'!AE13</f>
      </c>
      <c r="AC46" s="7">
        <f>'Infrastructure Detail'!AF13</f>
      </c>
      <c r="AD46" s="7">
        <f>'Infrastructure Detail'!AG13</f>
      </c>
      <c r="AE46" s="7">
        <f>'Infrastructure Detail'!AH13</f>
      </c>
      <c r="AF46" s="7">
        <f>'Infrastructure Detail'!AI13</f>
      </c>
      <c r="AG46" s="7">
        <f>'Infrastructure Detail'!AJ13</f>
      </c>
      <c r="AH46" s="7">
        <f>'Infrastructure Detail'!AK13</f>
      </c>
      <c r="AI46" s="7">
        <f>'Infrastructure Detail'!AL13</f>
      </c>
      <c r="AJ46" s="7">
        <f>'Infrastructure Detail'!AM13</f>
      </c>
    </row>
    <row r="47" spans="1:36" x14ac:dyDescent="0.25">
      <c r="A47" s="20" t="s">
        <v>54</v>
      </c>
      <c r="B47" s="21">
        <f>'Infrastructure Detail'!E14</f>
      </c>
      <c r="C47" s="21">
        <f>'Infrastructure Detail'!F14</f>
      </c>
      <c r="D47" s="21">
        <f>'Infrastructure Detail'!G14</f>
      </c>
      <c r="E47" s="21">
        <f>'Infrastructure Detail'!H14</f>
      </c>
      <c r="F47" s="21">
        <f>'Infrastructure Detail'!I14</f>
      </c>
      <c r="G47" s="21">
        <f>'Infrastructure Detail'!J14</f>
      </c>
      <c r="H47" s="21">
        <f>'Infrastructure Detail'!K14</f>
      </c>
      <c r="I47" s="21">
        <f>'Infrastructure Detail'!L14</f>
      </c>
      <c r="J47" s="21">
        <f>'Infrastructure Detail'!M14</f>
      </c>
      <c r="K47" s="21">
        <f>'Infrastructure Detail'!N14</f>
      </c>
      <c r="L47" s="21">
        <f>'Infrastructure Detail'!O14</f>
      </c>
      <c r="M47" s="21">
        <f>'Infrastructure Detail'!P14</f>
      </c>
      <c r="N47" s="21">
        <f>'Infrastructure Detail'!Q14</f>
      </c>
      <c r="O47" s="21">
        <f>'Infrastructure Detail'!R14</f>
      </c>
      <c r="P47" s="21">
        <f>'Infrastructure Detail'!S14</f>
      </c>
      <c r="Q47" s="21">
        <f>'Infrastructure Detail'!T14</f>
      </c>
      <c r="R47" s="21">
        <f>'Infrastructure Detail'!U14</f>
      </c>
      <c r="S47" s="21">
        <f>'Infrastructure Detail'!V14</f>
      </c>
      <c r="T47" s="21">
        <f>'Infrastructure Detail'!W14</f>
      </c>
      <c r="U47" s="21">
        <f>'Infrastructure Detail'!X14</f>
      </c>
      <c r="V47" s="21">
        <f>'Infrastructure Detail'!Y14</f>
      </c>
      <c r="W47" s="21">
        <f>'Infrastructure Detail'!Z14</f>
      </c>
      <c r="X47" s="21">
        <f>'Infrastructure Detail'!AA14</f>
      </c>
      <c r="Y47" s="21">
        <f>'Infrastructure Detail'!AB14</f>
      </c>
      <c r="Z47" s="21">
        <f>'Infrastructure Detail'!AC14</f>
      </c>
      <c r="AA47" s="21">
        <f>'Infrastructure Detail'!AD14</f>
      </c>
      <c r="AB47" s="21">
        <f>'Infrastructure Detail'!AE14</f>
      </c>
      <c r="AC47" s="21">
        <f>'Infrastructure Detail'!AF14</f>
      </c>
      <c r="AD47" s="21">
        <f>'Infrastructure Detail'!AG14</f>
      </c>
      <c r="AE47" s="21">
        <f>'Infrastructure Detail'!AH14</f>
      </c>
      <c r="AF47" s="21">
        <f>'Infrastructure Detail'!AI14</f>
      </c>
      <c r="AG47" s="21">
        <f>'Infrastructure Detail'!AJ14</f>
      </c>
      <c r="AH47" s="21">
        <f>'Infrastructure Detail'!AK14</f>
      </c>
      <c r="AI47" s="21">
        <f>'Infrastructure Detail'!AL14</f>
      </c>
      <c r="AJ47" s="21">
        <f>'Infrastructure Detail'!AM14</f>
      </c>
    </row>
    <row r="48" spans="1:36" x14ac:dyDescent="0.25">
      <c r="A48" s="18" t="s">
        <v>55</v>
      </c>
      <c r="B48" s="11">
        <f>'Infrastructure Detail'!E15</f>
      </c>
      <c r="C48" s="11">
        <f>'Infrastructure Detail'!F15</f>
      </c>
      <c r="D48" s="11">
        <f>'Infrastructure Detail'!G15</f>
      </c>
      <c r="E48" s="11">
        <f>'Infrastructure Detail'!H15</f>
      </c>
      <c r="F48" s="11">
        <f>'Infrastructure Detail'!I15</f>
      </c>
      <c r="G48" s="11">
        <f>'Infrastructure Detail'!J15</f>
      </c>
      <c r="H48" s="11">
        <f>'Infrastructure Detail'!K15</f>
      </c>
      <c r="I48" s="11">
        <f>'Infrastructure Detail'!L15</f>
      </c>
      <c r="J48" s="11">
        <f>'Infrastructure Detail'!M15</f>
      </c>
      <c r="K48" s="11">
        <f>'Infrastructure Detail'!N15</f>
      </c>
      <c r="L48" s="11">
        <f>'Infrastructure Detail'!O15</f>
      </c>
      <c r="M48" s="11">
        <f>'Infrastructure Detail'!P15</f>
      </c>
      <c r="N48" s="11">
        <f>'Infrastructure Detail'!Q15</f>
      </c>
      <c r="O48" s="11">
        <f>'Infrastructure Detail'!R15</f>
      </c>
      <c r="P48" s="11">
        <f>'Infrastructure Detail'!S15</f>
      </c>
      <c r="Q48" s="11">
        <f>'Infrastructure Detail'!T15</f>
      </c>
      <c r="R48" s="11">
        <f>'Infrastructure Detail'!U15</f>
      </c>
      <c r="S48" s="11">
        <f>'Infrastructure Detail'!V15</f>
      </c>
      <c r="T48" s="11">
        <f>'Infrastructure Detail'!W15</f>
      </c>
      <c r="U48" s="11">
        <f>'Infrastructure Detail'!X15</f>
      </c>
      <c r="V48" s="11">
        <f>'Infrastructure Detail'!Y15</f>
      </c>
      <c r="W48" s="11">
        <f>'Infrastructure Detail'!Z15</f>
      </c>
      <c r="X48" s="11">
        <f>'Infrastructure Detail'!AA15</f>
      </c>
      <c r="Y48" s="11">
        <f>'Infrastructure Detail'!AB15</f>
      </c>
      <c r="Z48" s="11">
        <f>'Infrastructure Detail'!AC15</f>
      </c>
      <c r="AA48" s="11">
        <f>'Infrastructure Detail'!AD15</f>
      </c>
      <c r="AB48" s="11">
        <f>'Infrastructure Detail'!AE15</f>
      </c>
      <c r="AC48" s="11">
        <f>'Infrastructure Detail'!AF15</f>
      </c>
      <c r="AD48" s="11">
        <f>'Infrastructure Detail'!AG15</f>
      </c>
      <c r="AE48" s="11">
        <f>'Infrastructure Detail'!AH15</f>
      </c>
      <c r="AF48" s="11">
        <f>'Infrastructure Detail'!AI15</f>
      </c>
      <c r="AG48" s="11">
        <f>'Infrastructure Detail'!AJ15</f>
      </c>
      <c r="AH48" s="11">
        <f>'Infrastructure Detail'!AK15</f>
      </c>
      <c r="AI48" s="11">
        <f>'Infrastructure Detail'!AL15</f>
      </c>
      <c r="AJ48" s="11">
        <f>'Infrastructure Detail'!AM15</f>
      </c>
    </row>
    <row r="50" spans="1:1" x14ac:dyDescent="0.25">
      <c r="A50" s="22" t="s">
        <v>56</v>
      </c>
    </row>
    <row r="51" spans="1:36" x14ac:dyDescent="0.25" outlineLevel="1" collapsed="1">
      <c r="A51">
        <f>"  "&amp;'Go-to-Market Detail'!A4</f>
      </c>
      <c r="B51" s="7">
        <f>'Go-to-Market Detail'!E4</f>
      </c>
      <c r="C51" s="7">
        <f>'Go-to-Market Detail'!F4</f>
      </c>
      <c r="D51" s="7">
        <f>'Go-to-Market Detail'!G4</f>
      </c>
      <c r="E51" s="7">
        <f>'Go-to-Market Detail'!H4</f>
      </c>
      <c r="F51" s="7">
        <f>'Go-to-Market Detail'!I4</f>
      </c>
      <c r="G51" s="7">
        <f>'Go-to-Market Detail'!J4</f>
      </c>
      <c r="H51" s="7">
        <f>'Go-to-Market Detail'!K4</f>
      </c>
      <c r="I51" s="7">
        <f>'Go-to-Market Detail'!L4</f>
      </c>
      <c r="J51" s="7">
        <f>'Go-to-Market Detail'!M4</f>
      </c>
      <c r="K51" s="7">
        <f>'Go-to-Market Detail'!N4</f>
      </c>
      <c r="L51" s="7">
        <f>'Go-to-Market Detail'!O4</f>
      </c>
      <c r="M51" s="7">
        <f>'Go-to-Market Detail'!P4</f>
      </c>
      <c r="N51" s="7">
        <f>'Go-to-Market Detail'!Q4</f>
      </c>
      <c r="O51" s="7">
        <f>'Go-to-Market Detail'!R4</f>
      </c>
      <c r="P51" s="7">
        <f>'Go-to-Market Detail'!S4</f>
      </c>
      <c r="Q51" s="7">
        <f>'Go-to-Market Detail'!T4</f>
      </c>
      <c r="R51" s="7">
        <f>'Go-to-Market Detail'!U4</f>
      </c>
      <c r="S51" s="7">
        <f>'Go-to-Market Detail'!V4</f>
      </c>
      <c r="T51" s="7">
        <f>'Go-to-Market Detail'!W4</f>
      </c>
      <c r="U51" s="7">
        <f>'Go-to-Market Detail'!X4</f>
      </c>
      <c r="V51" s="7">
        <f>'Go-to-Market Detail'!Y4</f>
      </c>
      <c r="W51" s="7">
        <f>'Go-to-Market Detail'!Z4</f>
      </c>
      <c r="X51" s="7">
        <f>'Go-to-Market Detail'!AA4</f>
      </c>
      <c r="Y51" s="7">
        <f>'Go-to-Market Detail'!AB4</f>
      </c>
      <c r="Z51" s="7">
        <f>'Go-to-Market Detail'!AC4</f>
      </c>
      <c r="AA51" s="7">
        <f>'Go-to-Market Detail'!AD4</f>
      </c>
      <c r="AB51" s="7">
        <f>'Go-to-Market Detail'!AE4</f>
      </c>
      <c r="AC51" s="7">
        <f>'Go-to-Market Detail'!AF4</f>
      </c>
      <c r="AD51" s="7">
        <f>'Go-to-Market Detail'!AG4</f>
      </c>
      <c r="AE51" s="7">
        <f>'Go-to-Market Detail'!AH4</f>
      </c>
      <c r="AF51" s="7">
        <f>'Go-to-Market Detail'!AI4</f>
      </c>
      <c r="AG51" s="7">
        <f>'Go-to-Market Detail'!AJ4</f>
      </c>
      <c r="AH51" s="7">
        <f>'Go-to-Market Detail'!AK4</f>
      </c>
      <c r="AI51" s="7">
        <f>'Go-to-Market Detail'!AL4</f>
      </c>
      <c r="AJ51" s="7">
        <f>'Go-to-Market Detail'!AM4</f>
      </c>
    </row>
    <row r="52" spans="1:36" x14ac:dyDescent="0.25" outlineLevel="1" collapsed="1">
      <c r="A52">
        <f>"  "&amp;'Go-to-Market Detail'!A5</f>
      </c>
      <c r="B52" s="7">
        <f>'Go-to-Market Detail'!E5</f>
      </c>
      <c r="C52" s="7">
        <f>'Go-to-Market Detail'!F5</f>
      </c>
      <c r="D52" s="7">
        <f>'Go-to-Market Detail'!G5</f>
      </c>
      <c r="E52" s="7">
        <f>'Go-to-Market Detail'!H5</f>
      </c>
      <c r="F52" s="7">
        <f>'Go-to-Market Detail'!I5</f>
      </c>
      <c r="G52" s="7">
        <f>'Go-to-Market Detail'!J5</f>
      </c>
      <c r="H52" s="7">
        <f>'Go-to-Market Detail'!K5</f>
      </c>
      <c r="I52" s="7">
        <f>'Go-to-Market Detail'!L5</f>
      </c>
      <c r="J52" s="7">
        <f>'Go-to-Market Detail'!M5</f>
      </c>
      <c r="K52" s="7">
        <f>'Go-to-Market Detail'!N5</f>
      </c>
      <c r="L52" s="7">
        <f>'Go-to-Market Detail'!O5</f>
      </c>
      <c r="M52" s="7">
        <f>'Go-to-Market Detail'!P5</f>
      </c>
      <c r="N52" s="7">
        <f>'Go-to-Market Detail'!Q5</f>
      </c>
      <c r="O52" s="7">
        <f>'Go-to-Market Detail'!R5</f>
      </c>
      <c r="P52" s="7">
        <f>'Go-to-Market Detail'!S5</f>
      </c>
      <c r="Q52" s="7">
        <f>'Go-to-Market Detail'!T5</f>
      </c>
      <c r="R52" s="7">
        <f>'Go-to-Market Detail'!U5</f>
      </c>
      <c r="S52" s="7">
        <f>'Go-to-Market Detail'!V5</f>
      </c>
      <c r="T52" s="7">
        <f>'Go-to-Market Detail'!W5</f>
      </c>
      <c r="U52" s="7">
        <f>'Go-to-Market Detail'!X5</f>
      </c>
      <c r="V52" s="7">
        <f>'Go-to-Market Detail'!Y5</f>
      </c>
      <c r="W52" s="7">
        <f>'Go-to-Market Detail'!Z5</f>
      </c>
      <c r="X52" s="7">
        <f>'Go-to-Market Detail'!AA5</f>
      </c>
      <c r="Y52" s="7">
        <f>'Go-to-Market Detail'!AB5</f>
      </c>
      <c r="Z52" s="7">
        <f>'Go-to-Market Detail'!AC5</f>
      </c>
      <c r="AA52" s="7">
        <f>'Go-to-Market Detail'!AD5</f>
      </c>
      <c r="AB52" s="7">
        <f>'Go-to-Market Detail'!AE5</f>
      </c>
      <c r="AC52" s="7">
        <f>'Go-to-Market Detail'!AF5</f>
      </c>
      <c r="AD52" s="7">
        <f>'Go-to-Market Detail'!AG5</f>
      </c>
      <c r="AE52" s="7">
        <f>'Go-to-Market Detail'!AH5</f>
      </c>
      <c r="AF52" s="7">
        <f>'Go-to-Market Detail'!AI5</f>
      </c>
      <c r="AG52" s="7">
        <f>'Go-to-Market Detail'!AJ5</f>
      </c>
      <c r="AH52" s="7">
        <f>'Go-to-Market Detail'!AK5</f>
      </c>
      <c r="AI52" s="7">
        <f>'Go-to-Market Detail'!AL5</f>
      </c>
      <c r="AJ52" s="7">
        <f>'Go-to-Market Detail'!AM5</f>
      </c>
    </row>
    <row r="53" spans="1:36" x14ac:dyDescent="0.25" outlineLevel="1" collapsed="1">
      <c r="A53">
        <f>"  "&amp;'Go-to-Market Detail'!A6</f>
      </c>
      <c r="B53" s="7">
        <f>'Go-to-Market Detail'!E6</f>
      </c>
      <c r="C53" s="7">
        <f>'Go-to-Market Detail'!F6</f>
      </c>
      <c r="D53" s="7">
        <f>'Go-to-Market Detail'!G6</f>
      </c>
      <c r="E53" s="7">
        <f>'Go-to-Market Detail'!H6</f>
      </c>
      <c r="F53" s="7">
        <f>'Go-to-Market Detail'!I6</f>
      </c>
      <c r="G53" s="7">
        <f>'Go-to-Market Detail'!J6</f>
      </c>
      <c r="H53" s="7">
        <f>'Go-to-Market Detail'!K6</f>
      </c>
      <c r="I53" s="7">
        <f>'Go-to-Market Detail'!L6</f>
      </c>
      <c r="J53" s="7">
        <f>'Go-to-Market Detail'!M6</f>
      </c>
      <c r="K53" s="7">
        <f>'Go-to-Market Detail'!N6</f>
      </c>
      <c r="L53" s="7">
        <f>'Go-to-Market Detail'!O6</f>
      </c>
      <c r="M53" s="7">
        <f>'Go-to-Market Detail'!P6</f>
      </c>
      <c r="N53" s="7">
        <f>'Go-to-Market Detail'!Q6</f>
      </c>
      <c r="O53" s="7">
        <f>'Go-to-Market Detail'!R6</f>
      </c>
      <c r="P53" s="7">
        <f>'Go-to-Market Detail'!S6</f>
      </c>
      <c r="Q53" s="7">
        <f>'Go-to-Market Detail'!T6</f>
      </c>
      <c r="R53" s="7">
        <f>'Go-to-Market Detail'!U6</f>
      </c>
      <c r="S53" s="7">
        <f>'Go-to-Market Detail'!V6</f>
      </c>
      <c r="T53" s="7">
        <f>'Go-to-Market Detail'!W6</f>
      </c>
      <c r="U53" s="7">
        <f>'Go-to-Market Detail'!X6</f>
      </c>
      <c r="V53" s="7">
        <f>'Go-to-Market Detail'!Y6</f>
      </c>
      <c r="W53" s="7">
        <f>'Go-to-Market Detail'!Z6</f>
      </c>
      <c r="X53" s="7">
        <f>'Go-to-Market Detail'!AA6</f>
      </c>
      <c r="Y53" s="7">
        <f>'Go-to-Market Detail'!AB6</f>
      </c>
      <c r="Z53" s="7">
        <f>'Go-to-Market Detail'!AC6</f>
      </c>
      <c r="AA53" s="7">
        <f>'Go-to-Market Detail'!AD6</f>
      </c>
      <c r="AB53" s="7">
        <f>'Go-to-Market Detail'!AE6</f>
      </c>
      <c r="AC53" s="7">
        <f>'Go-to-Market Detail'!AF6</f>
      </c>
      <c r="AD53" s="7">
        <f>'Go-to-Market Detail'!AG6</f>
      </c>
      <c r="AE53" s="7">
        <f>'Go-to-Market Detail'!AH6</f>
      </c>
      <c r="AF53" s="7">
        <f>'Go-to-Market Detail'!AI6</f>
      </c>
      <c r="AG53" s="7">
        <f>'Go-to-Market Detail'!AJ6</f>
      </c>
      <c r="AH53" s="7">
        <f>'Go-to-Market Detail'!AK6</f>
      </c>
      <c r="AI53" s="7">
        <f>'Go-to-Market Detail'!AL6</f>
      </c>
      <c r="AJ53" s="7">
        <f>'Go-to-Market Detail'!AM6</f>
      </c>
    </row>
    <row r="54" spans="1:36" x14ac:dyDescent="0.25" outlineLevel="1" collapsed="1">
      <c r="A54">
        <f>"  "&amp;'Go-to-Market Detail'!A7</f>
      </c>
      <c r="B54" s="7">
        <f>'Go-to-Market Detail'!E7</f>
      </c>
      <c r="C54" s="7">
        <f>'Go-to-Market Detail'!F7</f>
      </c>
      <c r="D54" s="7">
        <f>'Go-to-Market Detail'!G7</f>
      </c>
      <c r="E54" s="7">
        <f>'Go-to-Market Detail'!H7</f>
      </c>
      <c r="F54" s="7">
        <f>'Go-to-Market Detail'!I7</f>
      </c>
      <c r="G54" s="7">
        <f>'Go-to-Market Detail'!J7</f>
      </c>
      <c r="H54" s="7">
        <f>'Go-to-Market Detail'!K7</f>
      </c>
      <c r="I54" s="7">
        <f>'Go-to-Market Detail'!L7</f>
      </c>
      <c r="J54" s="7">
        <f>'Go-to-Market Detail'!M7</f>
      </c>
      <c r="K54" s="7">
        <f>'Go-to-Market Detail'!N7</f>
      </c>
      <c r="L54" s="7">
        <f>'Go-to-Market Detail'!O7</f>
      </c>
      <c r="M54" s="7">
        <f>'Go-to-Market Detail'!P7</f>
      </c>
      <c r="N54" s="7">
        <f>'Go-to-Market Detail'!Q7</f>
      </c>
      <c r="O54" s="7">
        <f>'Go-to-Market Detail'!R7</f>
      </c>
      <c r="P54" s="7">
        <f>'Go-to-Market Detail'!S7</f>
      </c>
      <c r="Q54" s="7">
        <f>'Go-to-Market Detail'!T7</f>
      </c>
      <c r="R54" s="7">
        <f>'Go-to-Market Detail'!U7</f>
      </c>
      <c r="S54" s="7">
        <f>'Go-to-Market Detail'!V7</f>
      </c>
      <c r="T54" s="7">
        <f>'Go-to-Market Detail'!W7</f>
      </c>
      <c r="U54" s="7">
        <f>'Go-to-Market Detail'!X7</f>
      </c>
      <c r="V54" s="7">
        <f>'Go-to-Market Detail'!Y7</f>
      </c>
      <c r="W54" s="7">
        <f>'Go-to-Market Detail'!Z7</f>
      </c>
      <c r="X54" s="7">
        <f>'Go-to-Market Detail'!AA7</f>
      </c>
      <c r="Y54" s="7">
        <f>'Go-to-Market Detail'!AB7</f>
      </c>
      <c r="Z54" s="7">
        <f>'Go-to-Market Detail'!AC7</f>
      </c>
      <c r="AA54" s="7">
        <f>'Go-to-Market Detail'!AD7</f>
      </c>
      <c r="AB54" s="7">
        <f>'Go-to-Market Detail'!AE7</f>
      </c>
      <c r="AC54" s="7">
        <f>'Go-to-Market Detail'!AF7</f>
      </c>
      <c r="AD54" s="7">
        <f>'Go-to-Market Detail'!AG7</f>
      </c>
      <c r="AE54" s="7">
        <f>'Go-to-Market Detail'!AH7</f>
      </c>
      <c r="AF54" s="7">
        <f>'Go-to-Market Detail'!AI7</f>
      </c>
      <c r="AG54" s="7">
        <f>'Go-to-Market Detail'!AJ7</f>
      </c>
      <c r="AH54" s="7">
        <f>'Go-to-Market Detail'!AK7</f>
      </c>
      <c r="AI54" s="7">
        <f>'Go-to-Market Detail'!AL7</f>
      </c>
      <c r="AJ54" s="7">
        <f>'Go-to-Market Detail'!AM7</f>
      </c>
    </row>
    <row r="55" spans="1:36" x14ac:dyDescent="0.25" outlineLevel="1" collapsed="1">
      <c r="A55">
        <f>"  "&amp;'Go-to-Market Detail'!A8</f>
      </c>
      <c r="B55" s="7">
        <f>'Go-to-Market Detail'!E8</f>
      </c>
      <c r="C55" s="7">
        <f>'Go-to-Market Detail'!F8</f>
      </c>
      <c r="D55" s="7">
        <f>'Go-to-Market Detail'!G8</f>
      </c>
      <c r="E55" s="7">
        <f>'Go-to-Market Detail'!H8</f>
      </c>
      <c r="F55" s="7">
        <f>'Go-to-Market Detail'!I8</f>
      </c>
      <c r="G55" s="7">
        <f>'Go-to-Market Detail'!J8</f>
      </c>
      <c r="H55" s="7">
        <f>'Go-to-Market Detail'!K8</f>
      </c>
      <c r="I55" s="7">
        <f>'Go-to-Market Detail'!L8</f>
      </c>
      <c r="J55" s="7">
        <f>'Go-to-Market Detail'!M8</f>
      </c>
      <c r="K55" s="7">
        <f>'Go-to-Market Detail'!N8</f>
      </c>
      <c r="L55" s="7">
        <f>'Go-to-Market Detail'!O8</f>
      </c>
      <c r="M55" s="7">
        <f>'Go-to-Market Detail'!P8</f>
      </c>
      <c r="N55" s="7">
        <f>'Go-to-Market Detail'!Q8</f>
      </c>
      <c r="O55" s="7">
        <f>'Go-to-Market Detail'!R8</f>
      </c>
      <c r="P55" s="7">
        <f>'Go-to-Market Detail'!S8</f>
      </c>
      <c r="Q55" s="7">
        <f>'Go-to-Market Detail'!T8</f>
      </c>
      <c r="R55" s="7">
        <f>'Go-to-Market Detail'!U8</f>
      </c>
      <c r="S55" s="7">
        <f>'Go-to-Market Detail'!V8</f>
      </c>
      <c r="T55" s="7">
        <f>'Go-to-Market Detail'!W8</f>
      </c>
      <c r="U55" s="7">
        <f>'Go-to-Market Detail'!X8</f>
      </c>
      <c r="V55" s="7">
        <f>'Go-to-Market Detail'!Y8</f>
      </c>
      <c r="W55" s="7">
        <f>'Go-to-Market Detail'!Z8</f>
      </c>
      <c r="X55" s="7">
        <f>'Go-to-Market Detail'!AA8</f>
      </c>
      <c r="Y55" s="7">
        <f>'Go-to-Market Detail'!AB8</f>
      </c>
      <c r="Z55" s="7">
        <f>'Go-to-Market Detail'!AC8</f>
      </c>
      <c r="AA55" s="7">
        <f>'Go-to-Market Detail'!AD8</f>
      </c>
      <c r="AB55" s="7">
        <f>'Go-to-Market Detail'!AE8</f>
      </c>
      <c r="AC55" s="7">
        <f>'Go-to-Market Detail'!AF8</f>
      </c>
      <c r="AD55" s="7">
        <f>'Go-to-Market Detail'!AG8</f>
      </c>
      <c r="AE55" s="7">
        <f>'Go-to-Market Detail'!AH8</f>
      </c>
      <c r="AF55" s="7">
        <f>'Go-to-Market Detail'!AI8</f>
      </c>
      <c r="AG55" s="7">
        <f>'Go-to-Market Detail'!AJ8</f>
      </c>
      <c r="AH55" s="7">
        <f>'Go-to-Market Detail'!AK8</f>
      </c>
      <c r="AI55" s="7">
        <f>'Go-to-Market Detail'!AL8</f>
      </c>
      <c r="AJ55" s="7">
        <f>'Go-to-Market Detail'!AM8</f>
      </c>
    </row>
    <row r="56" spans="1:36" x14ac:dyDescent="0.25" outlineLevel="1" collapsed="1">
      <c r="A56">
        <f>"  "&amp;'Go-to-Market Detail'!A9</f>
      </c>
      <c r="B56" s="7">
        <f>'Go-to-Market Detail'!E9</f>
      </c>
      <c r="C56" s="7">
        <f>'Go-to-Market Detail'!F9</f>
      </c>
      <c r="D56" s="7">
        <f>'Go-to-Market Detail'!G9</f>
      </c>
      <c r="E56" s="7">
        <f>'Go-to-Market Detail'!H9</f>
      </c>
      <c r="F56" s="7">
        <f>'Go-to-Market Detail'!I9</f>
      </c>
      <c r="G56" s="7">
        <f>'Go-to-Market Detail'!J9</f>
      </c>
      <c r="H56" s="7">
        <f>'Go-to-Market Detail'!K9</f>
      </c>
      <c r="I56" s="7">
        <f>'Go-to-Market Detail'!L9</f>
      </c>
      <c r="J56" s="7">
        <f>'Go-to-Market Detail'!M9</f>
      </c>
      <c r="K56" s="7">
        <f>'Go-to-Market Detail'!N9</f>
      </c>
      <c r="L56" s="7">
        <f>'Go-to-Market Detail'!O9</f>
      </c>
      <c r="M56" s="7">
        <f>'Go-to-Market Detail'!P9</f>
      </c>
      <c r="N56" s="7">
        <f>'Go-to-Market Detail'!Q9</f>
      </c>
      <c r="O56" s="7">
        <f>'Go-to-Market Detail'!R9</f>
      </c>
      <c r="P56" s="7">
        <f>'Go-to-Market Detail'!S9</f>
      </c>
      <c r="Q56" s="7">
        <f>'Go-to-Market Detail'!T9</f>
      </c>
      <c r="R56" s="7">
        <f>'Go-to-Market Detail'!U9</f>
      </c>
      <c r="S56" s="7">
        <f>'Go-to-Market Detail'!V9</f>
      </c>
      <c r="T56" s="7">
        <f>'Go-to-Market Detail'!W9</f>
      </c>
      <c r="U56" s="7">
        <f>'Go-to-Market Detail'!X9</f>
      </c>
      <c r="V56" s="7">
        <f>'Go-to-Market Detail'!Y9</f>
      </c>
      <c r="W56" s="7">
        <f>'Go-to-Market Detail'!Z9</f>
      </c>
      <c r="X56" s="7">
        <f>'Go-to-Market Detail'!AA9</f>
      </c>
      <c r="Y56" s="7">
        <f>'Go-to-Market Detail'!AB9</f>
      </c>
      <c r="Z56" s="7">
        <f>'Go-to-Market Detail'!AC9</f>
      </c>
      <c r="AA56" s="7">
        <f>'Go-to-Market Detail'!AD9</f>
      </c>
      <c r="AB56" s="7">
        <f>'Go-to-Market Detail'!AE9</f>
      </c>
      <c r="AC56" s="7">
        <f>'Go-to-Market Detail'!AF9</f>
      </c>
      <c r="AD56" s="7">
        <f>'Go-to-Market Detail'!AG9</f>
      </c>
      <c r="AE56" s="7">
        <f>'Go-to-Market Detail'!AH9</f>
      </c>
      <c r="AF56" s="7">
        <f>'Go-to-Market Detail'!AI9</f>
      </c>
      <c r="AG56" s="7">
        <f>'Go-to-Market Detail'!AJ9</f>
      </c>
      <c r="AH56" s="7">
        <f>'Go-to-Market Detail'!AK9</f>
      </c>
      <c r="AI56" s="7">
        <f>'Go-to-Market Detail'!AL9</f>
      </c>
      <c r="AJ56" s="7">
        <f>'Go-to-Market Detail'!AM9</f>
      </c>
    </row>
    <row r="57" spans="1:36" x14ac:dyDescent="0.25" outlineLevel="1" collapsed="1">
      <c r="A57">
        <f>"  "&amp;'Go-to-Market Detail'!A10</f>
      </c>
      <c r="B57" s="7">
        <f>'Go-to-Market Detail'!E10</f>
      </c>
      <c r="C57" s="7">
        <f>'Go-to-Market Detail'!F10</f>
      </c>
      <c r="D57" s="7">
        <f>'Go-to-Market Detail'!G10</f>
      </c>
      <c r="E57" s="7">
        <f>'Go-to-Market Detail'!H10</f>
      </c>
      <c r="F57" s="7">
        <f>'Go-to-Market Detail'!I10</f>
      </c>
      <c r="G57" s="7">
        <f>'Go-to-Market Detail'!J10</f>
      </c>
      <c r="H57" s="7">
        <f>'Go-to-Market Detail'!K10</f>
      </c>
      <c r="I57" s="7">
        <f>'Go-to-Market Detail'!L10</f>
      </c>
      <c r="J57" s="7">
        <f>'Go-to-Market Detail'!M10</f>
      </c>
      <c r="K57" s="7">
        <f>'Go-to-Market Detail'!N10</f>
      </c>
      <c r="L57" s="7">
        <f>'Go-to-Market Detail'!O10</f>
      </c>
      <c r="M57" s="7">
        <f>'Go-to-Market Detail'!P10</f>
      </c>
      <c r="N57" s="7">
        <f>'Go-to-Market Detail'!Q10</f>
      </c>
      <c r="O57" s="7">
        <f>'Go-to-Market Detail'!R10</f>
      </c>
      <c r="P57" s="7">
        <f>'Go-to-Market Detail'!S10</f>
      </c>
      <c r="Q57" s="7">
        <f>'Go-to-Market Detail'!T10</f>
      </c>
      <c r="R57" s="7">
        <f>'Go-to-Market Detail'!U10</f>
      </c>
      <c r="S57" s="7">
        <f>'Go-to-Market Detail'!V10</f>
      </c>
      <c r="T57" s="7">
        <f>'Go-to-Market Detail'!W10</f>
      </c>
      <c r="U57" s="7">
        <f>'Go-to-Market Detail'!X10</f>
      </c>
      <c r="V57" s="7">
        <f>'Go-to-Market Detail'!Y10</f>
      </c>
      <c r="W57" s="7">
        <f>'Go-to-Market Detail'!Z10</f>
      </c>
      <c r="X57" s="7">
        <f>'Go-to-Market Detail'!AA10</f>
      </c>
      <c r="Y57" s="7">
        <f>'Go-to-Market Detail'!AB10</f>
      </c>
      <c r="Z57" s="7">
        <f>'Go-to-Market Detail'!AC10</f>
      </c>
      <c r="AA57" s="7">
        <f>'Go-to-Market Detail'!AD10</f>
      </c>
      <c r="AB57" s="7">
        <f>'Go-to-Market Detail'!AE10</f>
      </c>
      <c r="AC57" s="7">
        <f>'Go-to-Market Detail'!AF10</f>
      </c>
      <c r="AD57" s="7">
        <f>'Go-to-Market Detail'!AG10</f>
      </c>
      <c r="AE57" s="7">
        <f>'Go-to-Market Detail'!AH10</f>
      </c>
      <c r="AF57" s="7">
        <f>'Go-to-Market Detail'!AI10</f>
      </c>
      <c r="AG57" s="7">
        <f>'Go-to-Market Detail'!AJ10</f>
      </c>
      <c r="AH57" s="7">
        <f>'Go-to-Market Detail'!AK10</f>
      </c>
      <c r="AI57" s="7">
        <f>'Go-to-Market Detail'!AL10</f>
      </c>
      <c r="AJ57" s="7">
        <f>'Go-to-Market Detail'!AM10</f>
      </c>
    </row>
    <row r="58" spans="1:36" x14ac:dyDescent="0.25" outlineLevel="1" collapsed="1">
      <c r="A58">
        <f>"  "&amp;'Go-to-Market Detail'!A11</f>
      </c>
      <c r="B58" s="7">
        <f>'Go-to-Market Detail'!E11</f>
      </c>
      <c r="C58" s="7">
        <f>'Go-to-Market Detail'!F11</f>
      </c>
      <c r="D58" s="7">
        <f>'Go-to-Market Detail'!G11</f>
      </c>
      <c r="E58" s="7">
        <f>'Go-to-Market Detail'!H11</f>
      </c>
      <c r="F58" s="7">
        <f>'Go-to-Market Detail'!I11</f>
      </c>
      <c r="G58" s="7">
        <f>'Go-to-Market Detail'!J11</f>
      </c>
      <c r="H58" s="7">
        <f>'Go-to-Market Detail'!K11</f>
      </c>
      <c r="I58" s="7">
        <f>'Go-to-Market Detail'!L11</f>
      </c>
      <c r="J58" s="7">
        <f>'Go-to-Market Detail'!M11</f>
      </c>
      <c r="K58" s="7">
        <f>'Go-to-Market Detail'!N11</f>
      </c>
      <c r="L58" s="7">
        <f>'Go-to-Market Detail'!O11</f>
      </c>
      <c r="M58" s="7">
        <f>'Go-to-Market Detail'!P11</f>
      </c>
      <c r="N58" s="7">
        <f>'Go-to-Market Detail'!Q11</f>
      </c>
      <c r="O58" s="7">
        <f>'Go-to-Market Detail'!R11</f>
      </c>
      <c r="P58" s="7">
        <f>'Go-to-Market Detail'!S11</f>
      </c>
      <c r="Q58" s="7">
        <f>'Go-to-Market Detail'!T11</f>
      </c>
      <c r="R58" s="7">
        <f>'Go-to-Market Detail'!U11</f>
      </c>
      <c r="S58" s="7">
        <f>'Go-to-Market Detail'!V11</f>
      </c>
      <c r="T58" s="7">
        <f>'Go-to-Market Detail'!W11</f>
      </c>
      <c r="U58" s="7">
        <f>'Go-to-Market Detail'!X11</f>
      </c>
      <c r="V58" s="7">
        <f>'Go-to-Market Detail'!Y11</f>
      </c>
      <c r="W58" s="7">
        <f>'Go-to-Market Detail'!Z11</f>
      </c>
      <c r="X58" s="7">
        <f>'Go-to-Market Detail'!AA11</f>
      </c>
      <c r="Y58" s="7">
        <f>'Go-to-Market Detail'!AB11</f>
      </c>
      <c r="Z58" s="7">
        <f>'Go-to-Market Detail'!AC11</f>
      </c>
      <c r="AA58" s="7">
        <f>'Go-to-Market Detail'!AD11</f>
      </c>
      <c r="AB58" s="7">
        <f>'Go-to-Market Detail'!AE11</f>
      </c>
      <c r="AC58" s="7">
        <f>'Go-to-Market Detail'!AF11</f>
      </c>
      <c r="AD58" s="7">
        <f>'Go-to-Market Detail'!AG11</f>
      </c>
      <c r="AE58" s="7">
        <f>'Go-to-Market Detail'!AH11</f>
      </c>
      <c r="AF58" s="7">
        <f>'Go-to-Market Detail'!AI11</f>
      </c>
      <c r="AG58" s="7">
        <f>'Go-to-Market Detail'!AJ11</f>
      </c>
      <c r="AH58" s="7">
        <f>'Go-to-Market Detail'!AK11</f>
      </c>
      <c r="AI58" s="7">
        <f>'Go-to-Market Detail'!AL11</f>
      </c>
      <c r="AJ58" s="7">
        <f>'Go-to-Market Detail'!AM11</f>
      </c>
    </row>
    <row r="59" spans="1:36" x14ac:dyDescent="0.25" outlineLevel="1" collapsed="1">
      <c r="A59">
        <f>"  "&amp;'Go-to-Market Detail'!A12</f>
      </c>
      <c r="B59" s="7">
        <f>'Go-to-Market Detail'!E12</f>
      </c>
      <c r="C59" s="7">
        <f>'Go-to-Market Detail'!F12</f>
      </c>
      <c r="D59" s="7">
        <f>'Go-to-Market Detail'!G12</f>
      </c>
      <c r="E59" s="7">
        <f>'Go-to-Market Detail'!H12</f>
      </c>
      <c r="F59" s="7">
        <f>'Go-to-Market Detail'!I12</f>
      </c>
      <c r="G59" s="7">
        <f>'Go-to-Market Detail'!J12</f>
      </c>
      <c r="H59" s="7">
        <f>'Go-to-Market Detail'!K12</f>
      </c>
      <c r="I59" s="7">
        <f>'Go-to-Market Detail'!L12</f>
      </c>
      <c r="J59" s="7">
        <f>'Go-to-Market Detail'!M12</f>
      </c>
      <c r="K59" s="7">
        <f>'Go-to-Market Detail'!N12</f>
      </c>
      <c r="L59" s="7">
        <f>'Go-to-Market Detail'!O12</f>
      </c>
      <c r="M59" s="7">
        <f>'Go-to-Market Detail'!P12</f>
      </c>
      <c r="N59" s="7">
        <f>'Go-to-Market Detail'!Q12</f>
      </c>
      <c r="O59" s="7">
        <f>'Go-to-Market Detail'!R12</f>
      </c>
      <c r="P59" s="7">
        <f>'Go-to-Market Detail'!S12</f>
      </c>
      <c r="Q59" s="7">
        <f>'Go-to-Market Detail'!T12</f>
      </c>
      <c r="R59" s="7">
        <f>'Go-to-Market Detail'!U12</f>
      </c>
      <c r="S59" s="7">
        <f>'Go-to-Market Detail'!V12</f>
      </c>
      <c r="T59" s="7">
        <f>'Go-to-Market Detail'!W12</f>
      </c>
      <c r="U59" s="7">
        <f>'Go-to-Market Detail'!X12</f>
      </c>
      <c r="V59" s="7">
        <f>'Go-to-Market Detail'!Y12</f>
      </c>
      <c r="W59" s="7">
        <f>'Go-to-Market Detail'!Z12</f>
      </c>
      <c r="X59" s="7">
        <f>'Go-to-Market Detail'!AA12</f>
      </c>
      <c r="Y59" s="7">
        <f>'Go-to-Market Detail'!AB12</f>
      </c>
      <c r="Z59" s="7">
        <f>'Go-to-Market Detail'!AC12</f>
      </c>
      <c r="AA59" s="7">
        <f>'Go-to-Market Detail'!AD12</f>
      </c>
      <c r="AB59" s="7">
        <f>'Go-to-Market Detail'!AE12</f>
      </c>
      <c r="AC59" s="7">
        <f>'Go-to-Market Detail'!AF12</f>
      </c>
      <c r="AD59" s="7">
        <f>'Go-to-Market Detail'!AG12</f>
      </c>
      <c r="AE59" s="7">
        <f>'Go-to-Market Detail'!AH12</f>
      </c>
      <c r="AF59" s="7">
        <f>'Go-to-Market Detail'!AI12</f>
      </c>
      <c r="AG59" s="7">
        <f>'Go-to-Market Detail'!AJ12</f>
      </c>
      <c r="AH59" s="7">
        <f>'Go-to-Market Detail'!AK12</f>
      </c>
      <c r="AI59" s="7">
        <f>'Go-to-Market Detail'!AL12</f>
      </c>
      <c r="AJ59" s="7">
        <f>'Go-to-Market Detail'!AM12</f>
      </c>
    </row>
    <row r="60" spans="1:36" x14ac:dyDescent="0.25" outlineLevel="1" collapsed="1">
      <c r="A60">
        <f>"  "&amp;'Go-to-Market Detail'!A13</f>
      </c>
      <c r="B60" s="7">
        <f>'Go-to-Market Detail'!E13</f>
      </c>
      <c r="C60" s="7">
        <f>'Go-to-Market Detail'!F13</f>
      </c>
      <c r="D60" s="7">
        <f>'Go-to-Market Detail'!G13</f>
      </c>
      <c r="E60" s="7">
        <f>'Go-to-Market Detail'!H13</f>
      </c>
      <c r="F60" s="7">
        <f>'Go-to-Market Detail'!I13</f>
      </c>
      <c r="G60" s="7">
        <f>'Go-to-Market Detail'!J13</f>
      </c>
      <c r="H60" s="7">
        <f>'Go-to-Market Detail'!K13</f>
      </c>
      <c r="I60" s="7">
        <f>'Go-to-Market Detail'!L13</f>
      </c>
      <c r="J60" s="7">
        <f>'Go-to-Market Detail'!M13</f>
      </c>
      <c r="K60" s="7">
        <f>'Go-to-Market Detail'!N13</f>
      </c>
      <c r="L60" s="7">
        <f>'Go-to-Market Detail'!O13</f>
      </c>
      <c r="M60" s="7">
        <f>'Go-to-Market Detail'!P13</f>
      </c>
      <c r="N60" s="7">
        <f>'Go-to-Market Detail'!Q13</f>
      </c>
      <c r="O60" s="7">
        <f>'Go-to-Market Detail'!R13</f>
      </c>
      <c r="P60" s="7">
        <f>'Go-to-Market Detail'!S13</f>
      </c>
      <c r="Q60" s="7">
        <f>'Go-to-Market Detail'!T13</f>
      </c>
      <c r="R60" s="7">
        <f>'Go-to-Market Detail'!U13</f>
      </c>
      <c r="S60" s="7">
        <f>'Go-to-Market Detail'!V13</f>
      </c>
      <c r="T60" s="7">
        <f>'Go-to-Market Detail'!W13</f>
      </c>
      <c r="U60" s="7">
        <f>'Go-to-Market Detail'!X13</f>
      </c>
      <c r="V60" s="7">
        <f>'Go-to-Market Detail'!Y13</f>
      </c>
      <c r="W60" s="7">
        <f>'Go-to-Market Detail'!Z13</f>
      </c>
      <c r="X60" s="7">
        <f>'Go-to-Market Detail'!AA13</f>
      </c>
      <c r="Y60" s="7">
        <f>'Go-to-Market Detail'!AB13</f>
      </c>
      <c r="Z60" s="7">
        <f>'Go-to-Market Detail'!AC13</f>
      </c>
      <c r="AA60" s="7">
        <f>'Go-to-Market Detail'!AD13</f>
      </c>
      <c r="AB60" s="7">
        <f>'Go-to-Market Detail'!AE13</f>
      </c>
      <c r="AC60" s="7">
        <f>'Go-to-Market Detail'!AF13</f>
      </c>
      <c r="AD60" s="7">
        <f>'Go-to-Market Detail'!AG13</f>
      </c>
      <c r="AE60" s="7">
        <f>'Go-to-Market Detail'!AH13</f>
      </c>
      <c r="AF60" s="7">
        <f>'Go-to-Market Detail'!AI13</f>
      </c>
      <c r="AG60" s="7">
        <f>'Go-to-Market Detail'!AJ13</f>
      </c>
      <c r="AH60" s="7">
        <f>'Go-to-Market Detail'!AK13</f>
      </c>
      <c r="AI60" s="7">
        <f>'Go-to-Market Detail'!AL13</f>
      </c>
      <c r="AJ60" s="7">
        <f>'Go-to-Market Detail'!AM13</f>
      </c>
    </row>
    <row r="61" spans="1:36" x14ac:dyDescent="0.25">
      <c r="A61" s="23" t="s">
        <v>57</v>
      </c>
      <c r="B61" s="24">
        <f>'Go-to-Market Detail'!E14</f>
      </c>
      <c r="C61" s="24">
        <f>'Go-to-Market Detail'!F14</f>
      </c>
      <c r="D61" s="24">
        <f>'Go-to-Market Detail'!G14</f>
      </c>
      <c r="E61" s="24">
        <f>'Go-to-Market Detail'!H14</f>
      </c>
      <c r="F61" s="24">
        <f>'Go-to-Market Detail'!I14</f>
      </c>
      <c r="G61" s="24">
        <f>'Go-to-Market Detail'!J14</f>
      </c>
      <c r="H61" s="24">
        <f>'Go-to-Market Detail'!K14</f>
      </c>
      <c r="I61" s="24">
        <f>'Go-to-Market Detail'!L14</f>
      </c>
      <c r="J61" s="24">
        <f>'Go-to-Market Detail'!M14</f>
      </c>
      <c r="K61" s="24">
        <f>'Go-to-Market Detail'!N14</f>
      </c>
      <c r="L61" s="24">
        <f>'Go-to-Market Detail'!O14</f>
      </c>
      <c r="M61" s="24">
        <f>'Go-to-Market Detail'!P14</f>
      </c>
      <c r="N61" s="24">
        <f>'Go-to-Market Detail'!Q14</f>
      </c>
      <c r="O61" s="24">
        <f>'Go-to-Market Detail'!R14</f>
      </c>
      <c r="P61" s="24">
        <f>'Go-to-Market Detail'!S14</f>
      </c>
      <c r="Q61" s="24">
        <f>'Go-to-Market Detail'!T14</f>
      </c>
      <c r="R61" s="24">
        <f>'Go-to-Market Detail'!U14</f>
      </c>
      <c r="S61" s="24">
        <f>'Go-to-Market Detail'!V14</f>
      </c>
      <c r="T61" s="24">
        <f>'Go-to-Market Detail'!W14</f>
      </c>
      <c r="U61" s="24">
        <f>'Go-to-Market Detail'!X14</f>
      </c>
      <c r="V61" s="24">
        <f>'Go-to-Market Detail'!Y14</f>
      </c>
      <c r="W61" s="24">
        <f>'Go-to-Market Detail'!Z14</f>
      </c>
      <c r="X61" s="24">
        <f>'Go-to-Market Detail'!AA14</f>
      </c>
      <c r="Y61" s="24">
        <f>'Go-to-Market Detail'!AB14</f>
      </c>
      <c r="Z61" s="24">
        <f>'Go-to-Market Detail'!AC14</f>
      </c>
      <c r="AA61" s="24">
        <f>'Go-to-Market Detail'!AD14</f>
      </c>
      <c r="AB61" s="24">
        <f>'Go-to-Market Detail'!AE14</f>
      </c>
      <c r="AC61" s="24">
        <f>'Go-to-Market Detail'!AF14</f>
      </c>
      <c r="AD61" s="24">
        <f>'Go-to-Market Detail'!AG14</f>
      </c>
      <c r="AE61" s="24">
        <f>'Go-to-Market Detail'!AH14</f>
      </c>
      <c r="AF61" s="24">
        <f>'Go-to-Market Detail'!AI14</f>
      </c>
      <c r="AG61" s="24">
        <f>'Go-to-Market Detail'!AJ14</f>
      </c>
      <c r="AH61" s="24">
        <f>'Go-to-Market Detail'!AK14</f>
      </c>
      <c r="AI61" s="24">
        <f>'Go-to-Market Detail'!AL14</f>
      </c>
      <c r="AJ61" s="24">
        <f>'Go-to-Market Detail'!AM14</f>
      </c>
    </row>
    <row r="62" spans="1:36" x14ac:dyDescent="0.25">
      <c r="A62" s="18" t="s">
        <v>58</v>
      </c>
      <c r="B62" s="11">
        <f>'Go-to-Market Detail'!E15</f>
      </c>
      <c r="C62" s="11">
        <f>'Go-to-Market Detail'!F15</f>
      </c>
      <c r="D62" s="11">
        <f>'Go-to-Market Detail'!G15</f>
      </c>
      <c r="E62" s="11">
        <f>'Go-to-Market Detail'!H15</f>
      </c>
      <c r="F62" s="11">
        <f>'Go-to-Market Detail'!I15</f>
      </c>
      <c r="G62" s="11">
        <f>'Go-to-Market Detail'!J15</f>
      </c>
      <c r="H62" s="11">
        <f>'Go-to-Market Detail'!K15</f>
      </c>
      <c r="I62" s="11">
        <f>'Go-to-Market Detail'!L15</f>
      </c>
      <c r="J62" s="11">
        <f>'Go-to-Market Detail'!M15</f>
      </c>
      <c r="K62" s="11">
        <f>'Go-to-Market Detail'!N15</f>
      </c>
      <c r="L62" s="11">
        <f>'Go-to-Market Detail'!O15</f>
      </c>
      <c r="M62" s="11">
        <f>'Go-to-Market Detail'!P15</f>
      </c>
      <c r="N62" s="11">
        <f>'Go-to-Market Detail'!Q15</f>
      </c>
      <c r="O62" s="11">
        <f>'Go-to-Market Detail'!R15</f>
      </c>
      <c r="P62" s="11">
        <f>'Go-to-Market Detail'!S15</f>
      </c>
      <c r="Q62" s="11">
        <f>'Go-to-Market Detail'!T15</f>
      </c>
      <c r="R62" s="11">
        <f>'Go-to-Market Detail'!U15</f>
      </c>
      <c r="S62" s="11">
        <f>'Go-to-Market Detail'!V15</f>
      </c>
      <c r="T62" s="11">
        <f>'Go-to-Market Detail'!W15</f>
      </c>
      <c r="U62" s="11">
        <f>'Go-to-Market Detail'!X15</f>
      </c>
      <c r="V62" s="11">
        <f>'Go-to-Market Detail'!Y15</f>
      </c>
      <c r="W62" s="11">
        <f>'Go-to-Market Detail'!Z15</f>
      </c>
      <c r="X62" s="11">
        <f>'Go-to-Market Detail'!AA15</f>
      </c>
      <c r="Y62" s="11">
        <f>'Go-to-Market Detail'!AB15</f>
      </c>
      <c r="Z62" s="11">
        <f>'Go-to-Market Detail'!AC15</f>
      </c>
      <c r="AA62" s="11">
        <f>'Go-to-Market Detail'!AD15</f>
      </c>
      <c r="AB62" s="11">
        <f>'Go-to-Market Detail'!AE15</f>
      </c>
      <c r="AC62" s="11">
        <f>'Go-to-Market Detail'!AF15</f>
      </c>
      <c r="AD62" s="11">
        <f>'Go-to-Market Detail'!AG15</f>
      </c>
      <c r="AE62" s="11">
        <f>'Go-to-Market Detail'!AH15</f>
      </c>
      <c r="AF62" s="11">
        <f>'Go-to-Market Detail'!AI15</f>
      </c>
      <c r="AG62" s="11">
        <f>'Go-to-Market Detail'!AJ15</f>
      </c>
      <c r="AH62" s="11">
        <f>'Go-to-Market Detail'!AK15</f>
      </c>
      <c r="AI62" s="11">
        <f>'Go-to-Market Detail'!AL15</f>
      </c>
      <c r="AJ62" s="11">
        <f>'Go-to-Market Detail'!AM15</f>
      </c>
    </row>
    <row r="64" spans="1:1" x14ac:dyDescent="0.25">
      <c r="A64" s="25" t="s">
        <v>59</v>
      </c>
    </row>
    <row r="65" spans="1:36" x14ac:dyDescent="0.25" outlineLevel="1" collapsed="1">
      <c r="A65">
        <f>"  "&amp;'R&amp;D Detail'!A4</f>
      </c>
      <c r="B65" s="7">
        <f>'R&amp;D Detail'!E4</f>
      </c>
      <c r="C65" s="7">
        <f>'R&amp;D Detail'!F4</f>
      </c>
      <c r="D65" s="7">
        <f>'R&amp;D Detail'!G4</f>
      </c>
      <c r="E65" s="7">
        <f>'R&amp;D Detail'!H4</f>
      </c>
      <c r="F65" s="7">
        <f>'R&amp;D Detail'!I4</f>
      </c>
      <c r="G65" s="7">
        <f>'R&amp;D Detail'!J4</f>
      </c>
      <c r="H65" s="7">
        <f>'R&amp;D Detail'!K4</f>
      </c>
      <c r="I65" s="7">
        <f>'R&amp;D Detail'!L4</f>
      </c>
      <c r="J65" s="7">
        <f>'R&amp;D Detail'!M4</f>
      </c>
      <c r="K65" s="7">
        <f>'R&amp;D Detail'!N4</f>
      </c>
      <c r="L65" s="7">
        <f>'R&amp;D Detail'!O4</f>
      </c>
      <c r="M65" s="7">
        <f>'R&amp;D Detail'!P4</f>
      </c>
      <c r="N65" s="7">
        <f>'R&amp;D Detail'!Q4</f>
      </c>
      <c r="O65" s="7">
        <f>'R&amp;D Detail'!R4</f>
      </c>
      <c r="P65" s="7">
        <f>'R&amp;D Detail'!S4</f>
      </c>
      <c r="Q65" s="7">
        <f>'R&amp;D Detail'!T4</f>
      </c>
      <c r="R65" s="7">
        <f>'R&amp;D Detail'!U4</f>
      </c>
      <c r="S65" s="7">
        <f>'R&amp;D Detail'!V4</f>
      </c>
      <c r="T65" s="7">
        <f>'R&amp;D Detail'!W4</f>
      </c>
      <c r="U65" s="7">
        <f>'R&amp;D Detail'!X4</f>
      </c>
      <c r="V65" s="7">
        <f>'R&amp;D Detail'!Y4</f>
      </c>
      <c r="W65" s="7">
        <f>'R&amp;D Detail'!Z4</f>
      </c>
      <c r="X65" s="7">
        <f>'R&amp;D Detail'!AA4</f>
      </c>
      <c r="Y65" s="7">
        <f>'R&amp;D Detail'!AB4</f>
      </c>
      <c r="Z65" s="7">
        <f>'R&amp;D Detail'!AC4</f>
      </c>
      <c r="AA65" s="7">
        <f>'R&amp;D Detail'!AD4</f>
      </c>
      <c r="AB65" s="7">
        <f>'R&amp;D Detail'!AE4</f>
      </c>
      <c r="AC65" s="7">
        <f>'R&amp;D Detail'!AF4</f>
      </c>
      <c r="AD65" s="7">
        <f>'R&amp;D Detail'!AG4</f>
      </c>
      <c r="AE65" s="7">
        <f>'R&amp;D Detail'!AH4</f>
      </c>
      <c r="AF65" s="7">
        <f>'R&amp;D Detail'!AI4</f>
      </c>
      <c r="AG65" s="7">
        <f>'R&amp;D Detail'!AJ4</f>
      </c>
      <c r="AH65" s="7">
        <f>'R&amp;D Detail'!AK4</f>
      </c>
      <c r="AI65" s="7">
        <f>'R&amp;D Detail'!AL4</f>
      </c>
      <c r="AJ65" s="7">
        <f>'R&amp;D Detail'!AM4</f>
      </c>
    </row>
    <row r="66" spans="1:36" x14ac:dyDescent="0.25" outlineLevel="1" collapsed="1">
      <c r="A66">
        <f>"  "&amp;'R&amp;D Detail'!A5</f>
      </c>
      <c r="B66" s="7">
        <f>'R&amp;D Detail'!E5</f>
      </c>
      <c r="C66" s="7">
        <f>'R&amp;D Detail'!F5</f>
      </c>
      <c r="D66" s="7">
        <f>'R&amp;D Detail'!G5</f>
      </c>
      <c r="E66" s="7">
        <f>'R&amp;D Detail'!H5</f>
      </c>
      <c r="F66" s="7">
        <f>'R&amp;D Detail'!I5</f>
      </c>
      <c r="G66" s="7">
        <f>'R&amp;D Detail'!J5</f>
      </c>
      <c r="H66" s="7">
        <f>'R&amp;D Detail'!K5</f>
      </c>
      <c r="I66" s="7">
        <f>'R&amp;D Detail'!L5</f>
      </c>
      <c r="J66" s="7">
        <f>'R&amp;D Detail'!M5</f>
      </c>
      <c r="K66" s="7">
        <f>'R&amp;D Detail'!N5</f>
      </c>
      <c r="L66" s="7">
        <f>'R&amp;D Detail'!O5</f>
      </c>
      <c r="M66" s="7">
        <f>'R&amp;D Detail'!P5</f>
      </c>
      <c r="N66" s="7">
        <f>'R&amp;D Detail'!Q5</f>
      </c>
      <c r="O66" s="7">
        <f>'R&amp;D Detail'!R5</f>
      </c>
      <c r="P66" s="7">
        <f>'R&amp;D Detail'!S5</f>
      </c>
      <c r="Q66" s="7">
        <f>'R&amp;D Detail'!T5</f>
      </c>
      <c r="R66" s="7">
        <f>'R&amp;D Detail'!U5</f>
      </c>
      <c r="S66" s="7">
        <f>'R&amp;D Detail'!V5</f>
      </c>
      <c r="T66" s="7">
        <f>'R&amp;D Detail'!W5</f>
      </c>
      <c r="U66" s="7">
        <f>'R&amp;D Detail'!X5</f>
      </c>
      <c r="V66" s="7">
        <f>'R&amp;D Detail'!Y5</f>
      </c>
      <c r="W66" s="7">
        <f>'R&amp;D Detail'!Z5</f>
      </c>
      <c r="X66" s="7">
        <f>'R&amp;D Detail'!AA5</f>
      </c>
      <c r="Y66" s="7">
        <f>'R&amp;D Detail'!AB5</f>
      </c>
      <c r="Z66" s="7">
        <f>'R&amp;D Detail'!AC5</f>
      </c>
      <c r="AA66" s="7">
        <f>'R&amp;D Detail'!AD5</f>
      </c>
      <c r="AB66" s="7">
        <f>'R&amp;D Detail'!AE5</f>
      </c>
      <c r="AC66" s="7">
        <f>'R&amp;D Detail'!AF5</f>
      </c>
      <c r="AD66" s="7">
        <f>'R&amp;D Detail'!AG5</f>
      </c>
      <c r="AE66" s="7">
        <f>'R&amp;D Detail'!AH5</f>
      </c>
      <c r="AF66" s="7">
        <f>'R&amp;D Detail'!AI5</f>
      </c>
      <c r="AG66" s="7">
        <f>'R&amp;D Detail'!AJ5</f>
      </c>
      <c r="AH66" s="7">
        <f>'R&amp;D Detail'!AK5</f>
      </c>
      <c r="AI66" s="7">
        <f>'R&amp;D Detail'!AL5</f>
      </c>
      <c r="AJ66" s="7">
        <f>'R&amp;D Detail'!AM5</f>
      </c>
    </row>
    <row r="67" spans="1:36" x14ac:dyDescent="0.25" outlineLevel="1" collapsed="1">
      <c r="A67">
        <f>"  "&amp;'R&amp;D Detail'!A6</f>
      </c>
      <c r="B67" s="7">
        <f>'R&amp;D Detail'!E6</f>
      </c>
      <c r="C67" s="7">
        <f>'R&amp;D Detail'!F6</f>
      </c>
      <c r="D67" s="7">
        <f>'R&amp;D Detail'!G6</f>
      </c>
      <c r="E67" s="7">
        <f>'R&amp;D Detail'!H6</f>
      </c>
      <c r="F67" s="7">
        <f>'R&amp;D Detail'!I6</f>
      </c>
      <c r="G67" s="7">
        <f>'R&amp;D Detail'!J6</f>
      </c>
      <c r="H67" s="7">
        <f>'R&amp;D Detail'!K6</f>
      </c>
      <c r="I67" s="7">
        <f>'R&amp;D Detail'!L6</f>
      </c>
      <c r="J67" s="7">
        <f>'R&amp;D Detail'!M6</f>
      </c>
      <c r="K67" s="7">
        <f>'R&amp;D Detail'!N6</f>
      </c>
      <c r="L67" s="7">
        <f>'R&amp;D Detail'!O6</f>
      </c>
      <c r="M67" s="7">
        <f>'R&amp;D Detail'!P6</f>
      </c>
      <c r="N67" s="7">
        <f>'R&amp;D Detail'!Q6</f>
      </c>
      <c r="O67" s="7">
        <f>'R&amp;D Detail'!R6</f>
      </c>
      <c r="P67" s="7">
        <f>'R&amp;D Detail'!S6</f>
      </c>
      <c r="Q67" s="7">
        <f>'R&amp;D Detail'!T6</f>
      </c>
      <c r="R67" s="7">
        <f>'R&amp;D Detail'!U6</f>
      </c>
      <c r="S67" s="7">
        <f>'R&amp;D Detail'!V6</f>
      </c>
      <c r="T67" s="7">
        <f>'R&amp;D Detail'!W6</f>
      </c>
      <c r="U67" s="7">
        <f>'R&amp;D Detail'!X6</f>
      </c>
      <c r="V67" s="7">
        <f>'R&amp;D Detail'!Y6</f>
      </c>
      <c r="W67" s="7">
        <f>'R&amp;D Detail'!Z6</f>
      </c>
      <c r="X67" s="7">
        <f>'R&amp;D Detail'!AA6</f>
      </c>
      <c r="Y67" s="7">
        <f>'R&amp;D Detail'!AB6</f>
      </c>
      <c r="Z67" s="7">
        <f>'R&amp;D Detail'!AC6</f>
      </c>
      <c r="AA67" s="7">
        <f>'R&amp;D Detail'!AD6</f>
      </c>
      <c r="AB67" s="7">
        <f>'R&amp;D Detail'!AE6</f>
      </c>
      <c r="AC67" s="7">
        <f>'R&amp;D Detail'!AF6</f>
      </c>
      <c r="AD67" s="7">
        <f>'R&amp;D Detail'!AG6</f>
      </c>
      <c r="AE67" s="7">
        <f>'R&amp;D Detail'!AH6</f>
      </c>
      <c r="AF67" s="7">
        <f>'R&amp;D Detail'!AI6</f>
      </c>
      <c r="AG67" s="7">
        <f>'R&amp;D Detail'!AJ6</f>
      </c>
      <c r="AH67" s="7">
        <f>'R&amp;D Detail'!AK6</f>
      </c>
      <c r="AI67" s="7">
        <f>'R&amp;D Detail'!AL6</f>
      </c>
      <c r="AJ67" s="7">
        <f>'R&amp;D Detail'!AM6</f>
      </c>
    </row>
    <row r="68" spans="1:36" x14ac:dyDescent="0.25" outlineLevel="1" collapsed="1">
      <c r="A68">
        <f>"  "&amp;'R&amp;D Detail'!A7</f>
      </c>
      <c r="B68" s="7">
        <f>'R&amp;D Detail'!E7</f>
      </c>
      <c r="C68" s="7">
        <f>'R&amp;D Detail'!F7</f>
      </c>
      <c r="D68" s="7">
        <f>'R&amp;D Detail'!G7</f>
      </c>
      <c r="E68" s="7">
        <f>'R&amp;D Detail'!H7</f>
      </c>
      <c r="F68" s="7">
        <f>'R&amp;D Detail'!I7</f>
      </c>
      <c r="G68" s="7">
        <f>'R&amp;D Detail'!J7</f>
      </c>
      <c r="H68" s="7">
        <f>'R&amp;D Detail'!K7</f>
      </c>
      <c r="I68" s="7">
        <f>'R&amp;D Detail'!L7</f>
      </c>
      <c r="J68" s="7">
        <f>'R&amp;D Detail'!M7</f>
      </c>
      <c r="K68" s="7">
        <f>'R&amp;D Detail'!N7</f>
      </c>
      <c r="L68" s="7">
        <f>'R&amp;D Detail'!O7</f>
      </c>
      <c r="M68" s="7">
        <f>'R&amp;D Detail'!P7</f>
      </c>
      <c r="N68" s="7">
        <f>'R&amp;D Detail'!Q7</f>
      </c>
      <c r="O68" s="7">
        <f>'R&amp;D Detail'!R7</f>
      </c>
      <c r="P68" s="7">
        <f>'R&amp;D Detail'!S7</f>
      </c>
      <c r="Q68" s="7">
        <f>'R&amp;D Detail'!T7</f>
      </c>
      <c r="R68" s="7">
        <f>'R&amp;D Detail'!U7</f>
      </c>
      <c r="S68" s="7">
        <f>'R&amp;D Detail'!V7</f>
      </c>
      <c r="T68" s="7">
        <f>'R&amp;D Detail'!W7</f>
      </c>
      <c r="U68" s="7">
        <f>'R&amp;D Detail'!X7</f>
      </c>
      <c r="V68" s="7">
        <f>'R&amp;D Detail'!Y7</f>
      </c>
      <c r="W68" s="7">
        <f>'R&amp;D Detail'!Z7</f>
      </c>
      <c r="X68" s="7">
        <f>'R&amp;D Detail'!AA7</f>
      </c>
      <c r="Y68" s="7">
        <f>'R&amp;D Detail'!AB7</f>
      </c>
      <c r="Z68" s="7">
        <f>'R&amp;D Detail'!AC7</f>
      </c>
      <c r="AA68" s="7">
        <f>'R&amp;D Detail'!AD7</f>
      </c>
      <c r="AB68" s="7">
        <f>'R&amp;D Detail'!AE7</f>
      </c>
      <c r="AC68" s="7">
        <f>'R&amp;D Detail'!AF7</f>
      </c>
      <c r="AD68" s="7">
        <f>'R&amp;D Detail'!AG7</f>
      </c>
      <c r="AE68" s="7">
        <f>'R&amp;D Detail'!AH7</f>
      </c>
      <c r="AF68" s="7">
        <f>'R&amp;D Detail'!AI7</f>
      </c>
      <c r="AG68" s="7">
        <f>'R&amp;D Detail'!AJ7</f>
      </c>
      <c r="AH68" s="7">
        <f>'R&amp;D Detail'!AK7</f>
      </c>
      <c r="AI68" s="7">
        <f>'R&amp;D Detail'!AL7</f>
      </c>
      <c r="AJ68" s="7">
        <f>'R&amp;D Detail'!AM7</f>
      </c>
    </row>
    <row r="69" spans="1:36" x14ac:dyDescent="0.25" outlineLevel="1" collapsed="1">
      <c r="A69">
        <f>"  "&amp;'R&amp;D Detail'!A8</f>
      </c>
      <c r="B69" s="7">
        <f>'R&amp;D Detail'!E8</f>
      </c>
      <c r="C69" s="7">
        <f>'R&amp;D Detail'!F8</f>
      </c>
      <c r="D69" s="7">
        <f>'R&amp;D Detail'!G8</f>
      </c>
      <c r="E69" s="7">
        <f>'R&amp;D Detail'!H8</f>
      </c>
      <c r="F69" s="7">
        <f>'R&amp;D Detail'!I8</f>
      </c>
      <c r="G69" s="7">
        <f>'R&amp;D Detail'!J8</f>
      </c>
      <c r="H69" s="7">
        <f>'R&amp;D Detail'!K8</f>
      </c>
      <c r="I69" s="7">
        <f>'R&amp;D Detail'!L8</f>
      </c>
      <c r="J69" s="7">
        <f>'R&amp;D Detail'!M8</f>
      </c>
      <c r="K69" s="7">
        <f>'R&amp;D Detail'!N8</f>
      </c>
      <c r="L69" s="7">
        <f>'R&amp;D Detail'!O8</f>
      </c>
      <c r="M69" s="7">
        <f>'R&amp;D Detail'!P8</f>
      </c>
      <c r="N69" s="7">
        <f>'R&amp;D Detail'!Q8</f>
      </c>
      <c r="O69" s="7">
        <f>'R&amp;D Detail'!R8</f>
      </c>
      <c r="P69" s="7">
        <f>'R&amp;D Detail'!S8</f>
      </c>
      <c r="Q69" s="7">
        <f>'R&amp;D Detail'!T8</f>
      </c>
      <c r="R69" s="7">
        <f>'R&amp;D Detail'!U8</f>
      </c>
      <c r="S69" s="7">
        <f>'R&amp;D Detail'!V8</f>
      </c>
      <c r="T69" s="7">
        <f>'R&amp;D Detail'!W8</f>
      </c>
      <c r="U69" s="7">
        <f>'R&amp;D Detail'!X8</f>
      </c>
      <c r="V69" s="7">
        <f>'R&amp;D Detail'!Y8</f>
      </c>
      <c r="W69" s="7">
        <f>'R&amp;D Detail'!Z8</f>
      </c>
      <c r="X69" s="7">
        <f>'R&amp;D Detail'!AA8</f>
      </c>
      <c r="Y69" s="7">
        <f>'R&amp;D Detail'!AB8</f>
      </c>
      <c r="Z69" s="7">
        <f>'R&amp;D Detail'!AC8</f>
      </c>
      <c r="AA69" s="7">
        <f>'R&amp;D Detail'!AD8</f>
      </c>
      <c r="AB69" s="7">
        <f>'R&amp;D Detail'!AE8</f>
      </c>
      <c r="AC69" s="7">
        <f>'R&amp;D Detail'!AF8</f>
      </c>
      <c r="AD69" s="7">
        <f>'R&amp;D Detail'!AG8</f>
      </c>
      <c r="AE69" s="7">
        <f>'R&amp;D Detail'!AH8</f>
      </c>
      <c r="AF69" s="7">
        <f>'R&amp;D Detail'!AI8</f>
      </c>
      <c r="AG69" s="7">
        <f>'R&amp;D Detail'!AJ8</f>
      </c>
      <c r="AH69" s="7">
        <f>'R&amp;D Detail'!AK8</f>
      </c>
      <c r="AI69" s="7">
        <f>'R&amp;D Detail'!AL8</f>
      </c>
      <c r="AJ69" s="7">
        <f>'R&amp;D Detail'!AM8</f>
      </c>
    </row>
    <row r="70" spans="1:36" x14ac:dyDescent="0.25" outlineLevel="1" collapsed="1">
      <c r="A70">
        <f>"  "&amp;'R&amp;D Detail'!A9</f>
      </c>
      <c r="B70" s="7">
        <f>'R&amp;D Detail'!E9</f>
      </c>
      <c r="C70" s="7">
        <f>'R&amp;D Detail'!F9</f>
      </c>
      <c r="D70" s="7">
        <f>'R&amp;D Detail'!G9</f>
      </c>
      <c r="E70" s="7">
        <f>'R&amp;D Detail'!H9</f>
      </c>
      <c r="F70" s="7">
        <f>'R&amp;D Detail'!I9</f>
      </c>
      <c r="G70" s="7">
        <f>'R&amp;D Detail'!J9</f>
      </c>
      <c r="H70" s="7">
        <f>'R&amp;D Detail'!K9</f>
      </c>
      <c r="I70" s="7">
        <f>'R&amp;D Detail'!L9</f>
      </c>
      <c r="J70" s="7">
        <f>'R&amp;D Detail'!M9</f>
      </c>
      <c r="K70" s="7">
        <f>'R&amp;D Detail'!N9</f>
      </c>
      <c r="L70" s="7">
        <f>'R&amp;D Detail'!O9</f>
      </c>
      <c r="M70" s="7">
        <f>'R&amp;D Detail'!P9</f>
      </c>
      <c r="N70" s="7">
        <f>'R&amp;D Detail'!Q9</f>
      </c>
      <c r="O70" s="7">
        <f>'R&amp;D Detail'!R9</f>
      </c>
      <c r="P70" s="7">
        <f>'R&amp;D Detail'!S9</f>
      </c>
      <c r="Q70" s="7">
        <f>'R&amp;D Detail'!T9</f>
      </c>
      <c r="R70" s="7">
        <f>'R&amp;D Detail'!U9</f>
      </c>
      <c r="S70" s="7">
        <f>'R&amp;D Detail'!V9</f>
      </c>
      <c r="T70" s="7">
        <f>'R&amp;D Detail'!W9</f>
      </c>
      <c r="U70" s="7">
        <f>'R&amp;D Detail'!X9</f>
      </c>
      <c r="V70" s="7">
        <f>'R&amp;D Detail'!Y9</f>
      </c>
      <c r="W70" s="7">
        <f>'R&amp;D Detail'!Z9</f>
      </c>
      <c r="X70" s="7">
        <f>'R&amp;D Detail'!AA9</f>
      </c>
      <c r="Y70" s="7">
        <f>'R&amp;D Detail'!AB9</f>
      </c>
      <c r="Z70" s="7">
        <f>'R&amp;D Detail'!AC9</f>
      </c>
      <c r="AA70" s="7">
        <f>'R&amp;D Detail'!AD9</f>
      </c>
      <c r="AB70" s="7">
        <f>'R&amp;D Detail'!AE9</f>
      </c>
      <c r="AC70" s="7">
        <f>'R&amp;D Detail'!AF9</f>
      </c>
      <c r="AD70" s="7">
        <f>'R&amp;D Detail'!AG9</f>
      </c>
      <c r="AE70" s="7">
        <f>'R&amp;D Detail'!AH9</f>
      </c>
      <c r="AF70" s="7">
        <f>'R&amp;D Detail'!AI9</f>
      </c>
      <c r="AG70" s="7">
        <f>'R&amp;D Detail'!AJ9</f>
      </c>
      <c r="AH70" s="7">
        <f>'R&amp;D Detail'!AK9</f>
      </c>
      <c r="AI70" s="7">
        <f>'R&amp;D Detail'!AL9</f>
      </c>
      <c r="AJ70" s="7">
        <f>'R&amp;D Detail'!AM9</f>
      </c>
    </row>
    <row r="71" spans="1:36" x14ac:dyDescent="0.25">
      <c r="A71" s="26" t="s">
        <v>60</v>
      </c>
      <c r="B71" s="27">
        <f>'R&amp;D Detail'!E10</f>
      </c>
      <c r="C71" s="27">
        <f>'R&amp;D Detail'!F10</f>
      </c>
      <c r="D71" s="27">
        <f>'R&amp;D Detail'!G10</f>
      </c>
      <c r="E71" s="27">
        <f>'R&amp;D Detail'!H10</f>
      </c>
      <c r="F71" s="27">
        <f>'R&amp;D Detail'!I10</f>
      </c>
      <c r="G71" s="27">
        <f>'R&amp;D Detail'!J10</f>
      </c>
      <c r="H71" s="27">
        <f>'R&amp;D Detail'!K10</f>
      </c>
      <c r="I71" s="27">
        <f>'R&amp;D Detail'!L10</f>
      </c>
      <c r="J71" s="27">
        <f>'R&amp;D Detail'!M10</f>
      </c>
      <c r="K71" s="27">
        <f>'R&amp;D Detail'!N10</f>
      </c>
      <c r="L71" s="27">
        <f>'R&amp;D Detail'!O10</f>
      </c>
      <c r="M71" s="27">
        <f>'R&amp;D Detail'!P10</f>
      </c>
      <c r="N71" s="27">
        <f>'R&amp;D Detail'!Q10</f>
      </c>
      <c r="O71" s="27">
        <f>'R&amp;D Detail'!R10</f>
      </c>
      <c r="P71" s="27">
        <f>'R&amp;D Detail'!S10</f>
      </c>
      <c r="Q71" s="27">
        <f>'R&amp;D Detail'!T10</f>
      </c>
      <c r="R71" s="27">
        <f>'R&amp;D Detail'!U10</f>
      </c>
      <c r="S71" s="27">
        <f>'R&amp;D Detail'!V10</f>
      </c>
      <c r="T71" s="27">
        <f>'R&amp;D Detail'!W10</f>
      </c>
      <c r="U71" s="27">
        <f>'R&amp;D Detail'!X10</f>
      </c>
      <c r="V71" s="27">
        <f>'R&amp;D Detail'!Y10</f>
      </c>
      <c r="W71" s="27">
        <f>'R&amp;D Detail'!Z10</f>
      </c>
      <c r="X71" s="27">
        <f>'R&amp;D Detail'!AA10</f>
      </c>
      <c r="Y71" s="27">
        <f>'R&amp;D Detail'!AB10</f>
      </c>
      <c r="Z71" s="27">
        <f>'R&amp;D Detail'!AC10</f>
      </c>
      <c r="AA71" s="27">
        <f>'R&amp;D Detail'!AD10</f>
      </c>
      <c r="AB71" s="27">
        <f>'R&amp;D Detail'!AE10</f>
      </c>
      <c r="AC71" s="27">
        <f>'R&amp;D Detail'!AF10</f>
      </c>
      <c r="AD71" s="27">
        <f>'R&amp;D Detail'!AG10</f>
      </c>
      <c r="AE71" s="27">
        <f>'R&amp;D Detail'!AH10</f>
      </c>
      <c r="AF71" s="27">
        <f>'R&amp;D Detail'!AI10</f>
      </c>
      <c r="AG71" s="27">
        <f>'R&amp;D Detail'!AJ10</f>
      </c>
      <c r="AH71" s="27">
        <f>'R&amp;D Detail'!AK10</f>
      </c>
      <c r="AI71" s="27">
        <f>'R&amp;D Detail'!AL10</f>
      </c>
      <c r="AJ71" s="27">
        <f>'R&amp;D Detail'!AM10</f>
      </c>
    </row>
    <row r="72" spans="1:36" x14ac:dyDescent="0.25">
      <c r="A72" s="18" t="s">
        <v>61</v>
      </c>
      <c r="B72" s="11">
        <f>'R&amp;D Detail'!E11</f>
      </c>
      <c r="C72" s="11">
        <f>'R&amp;D Detail'!F11</f>
      </c>
      <c r="D72" s="11">
        <f>'R&amp;D Detail'!G11</f>
      </c>
      <c r="E72" s="11">
        <f>'R&amp;D Detail'!H11</f>
      </c>
      <c r="F72" s="11">
        <f>'R&amp;D Detail'!I11</f>
      </c>
      <c r="G72" s="11">
        <f>'R&amp;D Detail'!J11</f>
      </c>
      <c r="H72" s="11">
        <f>'R&amp;D Detail'!K11</f>
      </c>
      <c r="I72" s="11">
        <f>'R&amp;D Detail'!L11</f>
      </c>
      <c r="J72" s="11">
        <f>'R&amp;D Detail'!M11</f>
      </c>
      <c r="K72" s="11">
        <f>'R&amp;D Detail'!N11</f>
      </c>
      <c r="L72" s="11">
        <f>'R&amp;D Detail'!O11</f>
      </c>
      <c r="M72" s="11">
        <f>'R&amp;D Detail'!P11</f>
      </c>
      <c r="N72" s="11">
        <f>'R&amp;D Detail'!Q11</f>
      </c>
      <c r="O72" s="11">
        <f>'R&amp;D Detail'!R11</f>
      </c>
      <c r="P72" s="11">
        <f>'R&amp;D Detail'!S11</f>
      </c>
      <c r="Q72" s="11">
        <f>'R&amp;D Detail'!T11</f>
      </c>
      <c r="R72" s="11">
        <f>'R&amp;D Detail'!U11</f>
      </c>
      <c r="S72" s="11">
        <f>'R&amp;D Detail'!V11</f>
      </c>
      <c r="T72" s="11">
        <f>'R&amp;D Detail'!W11</f>
      </c>
      <c r="U72" s="11">
        <f>'R&amp;D Detail'!X11</f>
      </c>
      <c r="V72" s="11">
        <f>'R&amp;D Detail'!Y11</f>
      </c>
      <c r="W72" s="11">
        <f>'R&amp;D Detail'!Z11</f>
      </c>
      <c r="X72" s="11">
        <f>'R&amp;D Detail'!AA11</f>
      </c>
      <c r="Y72" s="11">
        <f>'R&amp;D Detail'!AB11</f>
      </c>
      <c r="Z72" s="11">
        <f>'R&amp;D Detail'!AC11</f>
      </c>
      <c r="AA72" s="11">
        <f>'R&amp;D Detail'!AD11</f>
      </c>
      <c r="AB72" s="11">
        <f>'R&amp;D Detail'!AE11</f>
      </c>
      <c r="AC72" s="11">
        <f>'R&amp;D Detail'!AF11</f>
      </c>
      <c r="AD72" s="11">
        <f>'R&amp;D Detail'!AG11</f>
      </c>
      <c r="AE72" s="11">
        <f>'R&amp;D Detail'!AH11</f>
      </c>
      <c r="AF72" s="11">
        <f>'R&amp;D Detail'!AI11</f>
      </c>
      <c r="AG72" s="11">
        <f>'R&amp;D Detail'!AJ11</f>
      </c>
      <c r="AH72" s="11">
        <f>'R&amp;D Detail'!AK11</f>
      </c>
      <c r="AI72" s="11">
        <f>'R&amp;D Detail'!AL11</f>
      </c>
      <c r="AJ72" s="11">
        <f>'R&amp;D Detail'!AM11</f>
      </c>
    </row>
    <row r="74" spans="1:36" x14ac:dyDescent="0.25">
      <c r="A74" s="28" t="s">
        <v>62</v>
      </c>
      <c r="B74" s="29">
        <f>B33+B47+B61+B71</f>
      </c>
      <c r="C74" s="29">
        <f>C33+C47+C61+C71</f>
      </c>
      <c r="D74" s="29">
        <f>D33+D47+D61+D71</f>
      </c>
      <c r="E74" s="29">
        <f>E33+E47+E61+E71</f>
      </c>
      <c r="F74" s="29">
        <f>F33+F47+F61+F71</f>
      </c>
      <c r="G74" s="29">
        <f>G33+G47+G61+G71</f>
      </c>
      <c r="H74" s="29">
        <f>H33+H47+H61+H71</f>
      </c>
      <c r="I74" s="29">
        <f>I33+I47+I61+I71</f>
      </c>
      <c r="J74" s="29">
        <f>J33+J47+J61+J71</f>
      </c>
      <c r="K74" s="29">
        <f>K33+K47+K61+K71</f>
      </c>
      <c r="L74" s="29">
        <f>L33+L47+L61+L71</f>
      </c>
      <c r="M74" s="29">
        <f>M33+M47+M61+M71</f>
      </c>
      <c r="N74" s="29">
        <f>N33+N47+N61+N71</f>
      </c>
      <c r="O74" s="29">
        <f>O33+O47+O61+O71</f>
      </c>
      <c r="P74" s="29">
        <f>P33+P47+P61+P71</f>
      </c>
      <c r="Q74" s="29">
        <f>Q33+Q47+Q61+Q71</f>
      </c>
      <c r="R74" s="29">
        <f>R33+R47+R61+R71</f>
      </c>
      <c r="S74" s="29">
        <f>S33+S47+S61+S71</f>
      </c>
      <c r="T74" s="29">
        <f>T33+T47+T61+T71</f>
      </c>
      <c r="U74" s="29">
        <f>U33+U47+U61+U71</f>
      </c>
      <c r="V74" s="29">
        <f>V33+V47+V61+V71</f>
      </c>
      <c r="W74" s="29">
        <f>W33+W47+W61+W71</f>
      </c>
      <c r="X74" s="29">
        <f>X33+X47+X61+X71</f>
      </c>
      <c r="Y74" s="29">
        <f>Y33+Y47+Y61+Y71</f>
      </c>
      <c r="Z74" s="29">
        <f>Z33+Z47+Z61+Z71</f>
      </c>
      <c r="AA74" s="29">
        <f>AA33+AA47+AA61+AA71</f>
      </c>
      <c r="AB74" s="29">
        <f>AB33+AB47+AB61+AB71</f>
      </c>
      <c r="AC74" s="29">
        <f>AC33+AC47+AC61+AC71</f>
      </c>
      <c r="AD74" s="29">
        <f>AD33+AD47+AD61+AD71</f>
      </c>
      <c r="AE74" s="29">
        <f>AE33+AE47+AE61+AE71</f>
      </c>
      <c r="AF74" s="29">
        <f>AF33+AF47+AF61+AF71</f>
      </c>
      <c r="AG74" s="29">
        <f>AG33+AG47+AG61+AG71</f>
      </c>
      <c r="AH74" s="29">
        <f>AH33+AH47+AH61+AH71</f>
      </c>
      <c r="AI74" s="29">
        <f>AI33+AI47+AI61+AI71</f>
      </c>
      <c r="AJ74" s="29">
        <f>AJ33+AJ47+AJ61+AJ71</f>
      </c>
    </row>
    <row r="75" spans="1:36" x14ac:dyDescent="0.25">
      <c r="A75" s="10" t="s">
        <v>63</v>
      </c>
      <c r="B75" s="11">
        <f>B74</f>
      </c>
      <c r="C75" s="11">
        <f>B75+C74</f>
      </c>
      <c r="D75" s="11">
        <f>C75+D74</f>
      </c>
      <c r="E75" s="11">
        <f>D75+E74</f>
      </c>
      <c r="F75" s="11">
        <f>E75+F74</f>
      </c>
      <c r="G75" s="11">
        <f>F75+G74</f>
      </c>
      <c r="H75" s="11">
        <f>G75+H74</f>
      </c>
      <c r="I75" s="11">
        <f>H75+I74</f>
      </c>
      <c r="J75" s="11">
        <f>I75+J74</f>
      </c>
      <c r="K75" s="11">
        <f>J75+K74</f>
      </c>
      <c r="L75" s="11">
        <f>K75+L74</f>
      </c>
      <c r="M75" s="11">
        <f>L75+M74</f>
      </c>
      <c r="N75" s="11">
        <f>M75+N74</f>
      </c>
      <c r="O75" s="11">
        <f>N75+O74</f>
      </c>
      <c r="P75" s="11">
        <f>O75+P74</f>
      </c>
      <c r="Q75" s="11">
        <f>P75+Q74</f>
      </c>
      <c r="R75" s="11">
        <f>Q75+R74</f>
      </c>
      <c r="S75" s="11">
        <f>R75+S74</f>
      </c>
      <c r="T75" s="11">
        <f>S75+T74</f>
      </c>
      <c r="U75" s="11">
        <f>T75+U74</f>
      </c>
      <c r="V75" s="11">
        <f>U75+V74</f>
      </c>
      <c r="W75" s="11">
        <f>V75+W74</f>
      </c>
      <c r="X75" s="11">
        <f>W75+X74</f>
      </c>
      <c r="Y75" s="11">
        <f>X75+Y74</f>
      </c>
      <c r="Z75" s="11">
        <f>D75</f>
      </c>
      <c r="AA75" s="11">
        <f>G75</f>
      </c>
      <c r="AB75" s="11">
        <f>J75</f>
      </c>
      <c r="AC75" s="11">
        <f>M75</f>
      </c>
      <c r="AD75" s="12">
        <f>AC75</f>
      </c>
      <c r="AE75" s="11">
        <f>P75</f>
      </c>
      <c r="AF75" s="11">
        <f>S75</f>
      </c>
      <c r="AG75" s="11">
        <f>V75</f>
      </c>
      <c r="AH75" s="11">
        <f>Y75</f>
      </c>
      <c r="AI75" s="12">
        <f>AH75</f>
      </c>
      <c r="AJ75" s="12">
        <f>Y75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30"/>
  <sheetFormatPr defaultRowHeight="15" outlineLevelRow="0" outlineLevelCol="0" x14ac:dyDescent="55"/>
  <cols>
    <col min="1" max="1" width="30" customWidth="1"/>
    <col min="2" max="2" width="15" customWidth="1"/>
    <col min="3" max="3" width="12" customWidth="1"/>
    <col min="4" max="4" width="14" customWidth="1"/>
    <col min="5" max="16" width="11" customWidth="1"/>
    <col min="17" max="28" width="11" outlineLevel="1" collapsed="1" customWidth="1"/>
    <col min="29" max="39" width="11" customWidth="1"/>
  </cols>
  <sheetData>
    <row r="1" spans="1:39" x14ac:dyDescent="0.25">
      <c r="A1" s="30" t="s">
        <v>64</v>
      </c>
      <c r="B1" s="30" t="s">
        <v>65</v>
      </c>
      <c r="C1" s="30" t="s">
        <v>66</v>
      </c>
      <c r="D1" s="30" t="s">
        <v>67</v>
      </c>
      <c r="E1" s="30" t="s">
        <v>3</v>
      </c>
      <c r="F1" s="30" t="s">
        <v>4</v>
      </c>
      <c r="G1" s="30" t="s">
        <v>5</v>
      </c>
      <c r="H1" s="30" t="s">
        <v>6</v>
      </c>
      <c r="I1" s="30" t="s">
        <v>7</v>
      </c>
      <c r="J1" s="30" t="s">
        <v>8</v>
      </c>
      <c r="K1" s="30" t="s">
        <v>9</v>
      </c>
      <c r="L1" s="30" t="s">
        <v>10</v>
      </c>
      <c r="M1" s="30" t="s">
        <v>11</v>
      </c>
      <c r="N1" s="30" t="s">
        <v>12</v>
      </c>
      <c r="O1" s="30" t="s">
        <v>13</v>
      </c>
      <c r="P1" s="30" t="s">
        <v>14</v>
      </c>
      <c r="Q1" s="30" t="s">
        <v>15</v>
      </c>
      <c r="R1" s="30" t="s">
        <v>16</v>
      </c>
      <c r="S1" s="30" t="s">
        <v>17</v>
      </c>
      <c r="T1" s="30" t="s">
        <v>18</v>
      </c>
      <c r="U1" s="30" t="s">
        <v>19</v>
      </c>
      <c r="V1" s="30" t="s">
        <v>20</v>
      </c>
      <c r="W1" s="30" t="s">
        <v>21</v>
      </c>
      <c r="X1" s="30" t="s">
        <v>22</v>
      </c>
      <c r="Y1" s="30" t="s">
        <v>23</v>
      </c>
      <c r="Z1" s="30" t="s">
        <v>24</v>
      </c>
      <c r="AA1" s="30" t="s">
        <v>25</v>
      </c>
      <c r="AB1" s="30" t="s">
        <v>26</v>
      </c>
      <c r="AC1" s="5" t="s">
        <v>27</v>
      </c>
      <c r="AD1" s="5" t="s">
        <v>28</v>
      </c>
      <c r="AE1" s="5" t="s">
        <v>29</v>
      </c>
      <c r="AF1" s="5" t="s">
        <v>30</v>
      </c>
      <c r="AG1" s="5" t="s">
        <v>31</v>
      </c>
      <c r="AH1" s="5" t="s">
        <v>32</v>
      </c>
      <c r="AI1" s="5" t="s">
        <v>33</v>
      </c>
      <c r="AJ1" s="5" t="s">
        <v>34</v>
      </c>
      <c r="AK1" s="5" t="s">
        <v>35</v>
      </c>
      <c r="AL1" s="5" t="s">
        <v>36</v>
      </c>
      <c r="AM1" s="5" t="s">
        <v>37</v>
      </c>
    </row>
    <row r="2" spans="1:39" x14ac:dyDescent="0.25">
      <c r="A2" t="s">
        <v>68</v>
      </c>
      <c r="B2" s="7">
        <v>350000</v>
      </c>
      <c r="C2">
        <v>1</v>
      </c>
      <c r="D2" s="7">
        <f>B2/12</f>
      </c>
      <c r="E2" s="7">
        <f>IF(1&gt;=C2,D2,0)</f>
      </c>
      <c r="F2" s="7">
        <f>IF(2&gt;=C2,D2,0)</f>
      </c>
      <c r="G2" s="7">
        <f>IF(3&gt;=C2,D2,0)</f>
      </c>
      <c r="H2" s="7">
        <f>IF(4&gt;=C2,D2,0)</f>
      </c>
      <c r="I2" s="7">
        <f>IF(5&gt;=C2,D2,0)</f>
      </c>
      <c r="J2" s="7">
        <f>IF(6&gt;=C2,D2,0)</f>
      </c>
      <c r="K2" s="7">
        <f>IF(7&gt;=C2,D2,0)</f>
      </c>
      <c r="L2" s="7">
        <f>IF(8&gt;=C2,D2,0)</f>
      </c>
      <c r="M2" s="7">
        <f>IF(9&gt;=C2,D2,0)</f>
      </c>
      <c r="N2" s="7">
        <f>IF(10&gt;=C2,D2,0)</f>
      </c>
      <c r="O2" s="7">
        <f>IF(11&gt;=C2,D2,0)</f>
      </c>
      <c r="P2" s="7">
        <f>IF(12&gt;=C2,D2,0)</f>
      </c>
      <c r="Q2" s="7">
        <f>IF(13&gt;=C2,D2,0)</f>
      </c>
      <c r="R2" s="7">
        <f>IF(14&gt;=C2,D2,0)</f>
      </c>
      <c r="S2" s="7">
        <f>IF(15&gt;=C2,D2,0)</f>
      </c>
      <c r="T2" s="7">
        <f>IF(16&gt;=C2,D2,0)</f>
      </c>
      <c r="U2" s="7">
        <f>IF(17&gt;=C2,D2,0)</f>
      </c>
      <c r="V2" s="7">
        <f>IF(18&gt;=C2,D2,0)</f>
      </c>
      <c r="W2" s="7">
        <f>IF(19&gt;=C2,D2,0)</f>
      </c>
      <c r="X2" s="7">
        <f>IF(20&gt;=C2,D2,0)</f>
      </c>
      <c r="Y2" s="7">
        <f>IF(21&gt;=C2,D2,0)</f>
      </c>
      <c r="Z2" s="7">
        <f>IF(22&gt;=C2,D2,0)</f>
      </c>
      <c r="AA2" s="7">
        <f>IF(23&gt;=C2,D2,0)</f>
      </c>
      <c r="AB2" s="7">
        <f>IF(24&gt;=C2,D2,0)</f>
      </c>
      <c r="AC2" s="7">
        <f>SUM(E2:G2)</f>
      </c>
      <c r="AD2" s="7">
        <f>SUM(H2:J2)</f>
      </c>
      <c r="AE2" s="7">
        <f>SUM(K2:M2)</f>
      </c>
      <c r="AF2" s="7">
        <f>SUM(N2:P2)</f>
      </c>
      <c r="AG2" s="31">
        <f>SUM(AC2:AF2)</f>
      </c>
      <c r="AH2" s="7">
        <f>SUM(Q2:S2)</f>
      </c>
      <c r="AI2" s="7">
        <f>SUM(T2:V2)</f>
      </c>
      <c r="AJ2" s="7">
        <f>SUM(W2:Y2)</f>
      </c>
      <c r="AK2" s="7">
        <f>SUM(Z2:AB2)</f>
      </c>
      <c r="AL2" s="31">
        <f>SUM(AH2:AK2)</f>
      </c>
      <c r="AM2" s="32">
        <f>AG2+AL2</f>
      </c>
    </row>
    <row r="3" spans="1:39" x14ac:dyDescent="0.25">
      <c r="A3" t="s">
        <v>69</v>
      </c>
      <c r="B3" s="7">
        <v>300000</v>
      </c>
      <c r="C3">
        <v>1</v>
      </c>
      <c r="D3" s="7">
        <f>B3/12</f>
      </c>
      <c r="E3" s="7">
        <f>IF(1&gt;=C3,D3,0)</f>
      </c>
      <c r="F3" s="7">
        <f>IF(2&gt;=C3,D3,0)</f>
      </c>
      <c r="G3" s="7">
        <f>IF(3&gt;=C3,D3,0)</f>
      </c>
      <c r="H3" s="7">
        <f>IF(4&gt;=C3,D3,0)</f>
      </c>
      <c r="I3" s="7">
        <f>IF(5&gt;=C3,D3,0)</f>
      </c>
      <c r="J3" s="7">
        <f>IF(6&gt;=C3,D3,0)</f>
      </c>
      <c r="K3" s="7">
        <f>IF(7&gt;=C3,D3,0)</f>
      </c>
      <c r="L3" s="7">
        <f>IF(8&gt;=C3,D3,0)</f>
      </c>
      <c r="M3" s="7">
        <f>IF(9&gt;=C3,D3,0)</f>
      </c>
      <c r="N3" s="7">
        <f>IF(10&gt;=C3,D3,0)</f>
      </c>
      <c r="O3" s="7">
        <f>IF(11&gt;=C3,D3,0)</f>
      </c>
      <c r="P3" s="7">
        <f>IF(12&gt;=C3,D3,0)</f>
      </c>
      <c r="Q3" s="7">
        <f>IF(13&gt;=C3,D3,0)</f>
      </c>
      <c r="R3" s="7">
        <f>IF(14&gt;=C3,D3,0)</f>
      </c>
      <c r="S3" s="7">
        <f>IF(15&gt;=C3,D3,0)</f>
      </c>
      <c r="T3" s="7">
        <f>IF(16&gt;=C3,D3,0)</f>
      </c>
      <c r="U3" s="7">
        <f>IF(17&gt;=C3,D3,0)</f>
      </c>
      <c r="V3" s="7">
        <f>IF(18&gt;=C3,D3,0)</f>
      </c>
      <c r="W3" s="7">
        <f>IF(19&gt;=C3,D3,0)</f>
      </c>
      <c r="X3" s="7">
        <f>IF(20&gt;=C3,D3,0)</f>
      </c>
      <c r="Y3" s="7">
        <f>IF(21&gt;=C3,D3,0)</f>
      </c>
      <c r="Z3" s="7">
        <f>IF(22&gt;=C3,D3,0)</f>
      </c>
      <c r="AA3" s="7">
        <f>IF(23&gt;=C3,D3,0)</f>
      </c>
      <c r="AB3" s="7">
        <f>IF(24&gt;=C3,D3,0)</f>
      </c>
      <c r="AC3" s="7">
        <f>SUM(E3:G3)</f>
      </c>
      <c r="AD3" s="7">
        <f>SUM(H3:J3)</f>
      </c>
      <c r="AE3" s="7">
        <f>SUM(K3:M3)</f>
      </c>
      <c r="AF3" s="7">
        <f>SUM(N3:P3)</f>
      </c>
      <c r="AG3" s="31">
        <f>SUM(AC3:AF3)</f>
      </c>
      <c r="AH3" s="7">
        <f>SUM(Q3:S3)</f>
      </c>
      <c r="AI3" s="7">
        <f>SUM(T3:V3)</f>
      </c>
      <c r="AJ3" s="7">
        <f>SUM(W3:Y3)</f>
      </c>
      <c r="AK3" s="7">
        <f>SUM(Z3:AB3)</f>
      </c>
      <c r="AL3" s="31">
        <f>SUM(AH3:AK3)</f>
      </c>
      <c r="AM3" s="32">
        <f>AG3+AL3</f>
      </c>
    </row>
    <row r="4" spans="1:39" x14ac:dyDescent="0.25">
      <c r="A4" t="s">
        <v>70</v>
      </c>
      <c r="B4" s="7">
        <v>200000</v>
      </c>
      <c r="C4">
        <v>1</v>
      </c>
      <c r="D4" s="7">
        <f>B4/12</f>
      </c>
      <c r="E4" s="7">
        <f>IF(1&gt;=C4,D4,0)</f>
      </c>
      <c r="F4" s="7">
        <f>IF(2&gt;=C4,D4,0)</f>
      </c>
      <c r="G4" s="7">
        <f>IF(3&gt;=C4,D4,0)</f>
      </c>
      <c r="H4" s="7">
        <f>IF(4&gt;=C4,D4,0)</f>
      </c>
      <c r="I4" s="7">
        <f>IF(5&gt;=C4,D4,0)</f>
      </c>
      <c r="J4" s="7">
        <f>IF(6&gt;=C4,D4,0)</f>
      </c>
      <c r="K4" s="7">
        <f>IF(7&gt;=C4,D4,0)</f>
      </c>
      <c r="L4" s="7">
        <f>IF(8&gt;=C4,D4,0)</f>
      </c>
      <c r="M4" s="7">
        <f>IF(9&gt;=C4,D4,0)</f>
      </c>
      <c r="N4" s="7">
        <f>IF(10&gt;=C4,D4,0)</f>
      </c>
      <c r="O4" s="7">
        <f>IF(11&gt;=C4,D4,0)</f>
      </c>
      <c r="P4" s="7">
        <f>IF(12&gt;=C4,D4,0)</f>
      </c>
      <c r="Q4" s="7">
        <f>IF(13&gt;=C4,D4,0)</f>
      </c>
      <c r="R4" s="7">
        <f>IF(14&gt;=C4,D4,0)</f>
      </c>
      <c r="S4" s="7">
        <f>IF(15&gt;=C4,D4,0)</f>
      </c>
      <c r="T4" s="7">
        <f>IF(16&gt;=C4,D4,0)</f>
      </c>
      <c r="U4" s="7">
        <f>IF(17&gt;=C4,D4,0)</f>
      </c>
      <c r="V4" s="7">
        <f>IF(18&gt;=C4,D4,0)</f>
      </c>
      <c r="W4" s="7">
        <f>IF(19&gt;=C4,D4,0)</f>
      </c>
      <c r="X4" s="7">
        <f>IF(20&gt;=C4,D4,0)</f>
      </c>
      <c r="Y4" s="7">
        <f>IF(21&gt;=C4,D4,0)</f>
      </c>
      <c r="Z4" s="7">
        <f>IF(22&gt;=C4,D4,0)</f>
      </c>
      <c r="AA4" s="7">
        <f>IF(23&gt;=C4,D4,0)</f>
      </c>
      <c r="AB4" s="7">
        <f>IF(24&gt;=C4,D4,0)</f>
      </c>
      <c r="AC4" s="7">
        <f>SUM(E4:G4)</f>
      </c>
      <c r="AD4" s="7">
        <f>SUM(H4:J4)</f>
      </c>
      <c r="AE4" s="7">
        <f>SUM(K4:M4)</f>
      </c>
      <c r="AF4" s="7">
        <f>SUM(N4:P4)</f>
      </c>
      <c r="AG4" s="31">
        <f>SUM(AC4:AF4)</f>
      </c>
      <c r="AH4" s="7">
        <f>SUM(Q4:S4)</f>
      </c>
      <c r="AI4" s="7">
        <f>SUM(T4:V4)</f>
      </c>
      <c r="AJ4" s="7">
        <f>SUM(W4:Y4)</f>
      </c>
      <c r="AK4" s="7">
        <f>SUM(Z4:AB4)</f>
      </c>
      <c r="AL4" s="31">
        <f>SUM(AH4:AK4)</f>
      </c>
      <c r="AM4" s="32">
        <f>AG4+AL4</f>
      </c>
    </row>
    <row r="5" spans="1:39" x14ac:dyDescent="0.25">
      <c r="A5" t="s">
        <v>71</v>
      </c>
      <c r="B5" s="7">
        <v>150000</v>
      </c>
      <c r="C5">
        <v>2</v>
      </c>
      <c r="D5" s="7">
        <f>B5/12</f>
      </c>
      <c r="E5" s="7">
        <f>IF(1&gt;=C5,D5,0)</f>
      </c>
      <c r="F5" s="7">
        <f>IF(2&gt;=C5,D5,0)</f>
      </c>
      <c r="G5" s="7">
        <f>IF(3&gt;=C5,D5,0)</f>
      </c>
      <c r="H5" s="7">
        <f>IF(4&gt;=C5,D5,0)</f>
      </c>
      <c r="I5" s="7">
        <f>IF(5&gt;=C5,D5,0)</f>
      </c>
      <c r="J5" s="7">
        <f>IF(6&gt;=C5,D5,0)</f>
      </c>
      <c r="K5" s="7">
        <f>IF(7&gt;=C5,D5,0)</f>
      </c>
      <c r="L5" s="7">
        <f>IF(8&gt;=C5,D5,0)</f>
      </c>
      <c r="M5" s="7">
        <f>IF(9&gt;=C5,D5,0)</f>
      </c>
      <c r="N5" s="7">
        <f>IF(10&gt;=C5,D5,0)</f>
      </c>
      <c r="O5" s="7">
        <f>IF(11&gt;=C5,D5,0)</f>
      </c>
      <c r="P5" s="7">
        <f>IF(12&gt;=C5,D5,0)</f>
      </c>
      <c r="Q5" s="7">
        <f>IF(13&gt;=C5,D5,0)</f>
      </c>
      <c r="R5" s="7">
        <f>IF(14&gt;=C5,D5,0)</f>
      </c>
      <c r="S5" s="7">
        <f>IF(15&gt;=C5,D5,0)</f>
      </c>
      <c r="T5" s="7">
        <f>IF(16&gt;=C5,D5,0)</f>
      </c>
      <c r="U5" s="7">
        <f>IF(17&gt;=C5,D5,0)</f>
      </c>
      <c r="V5" s="7">
        <f>IF(18&gt;=C5,D5,0)</f>
      </c>
      <c r="W5" s="7">
        <f>IF(19&gt;=C5,D5,0)</f>
      </c>
      <c r="X5" s="7">
        <f>IF(20&gt;=C5,D5,0)</f>
      </c>
      <c r="Y5" s="7">
        <f>IF(21&gt;=C5,D5,0)</f>
      </c>
      <c r="Z5" s="7">
        <f>IF(22&gt;=C5,D5,0)</f>
      </c>
      <c r="AA5" s="7">
        <f>IF(23&gt;=C5,D5,0)</f>
      </c>
      <c r="AB5" s="7">
        <f>IF(24&gt;=C5,D5,0)</f>
      </c>
      <c r="AC5" s="7">
        <f>SUM(E5:G5)</f>
      </c>
      <c r="AD5" s="7">
        <f>SUM(H5:J5)</f>
      </c>
      <c r="AE5" s="7">
        <f>SUM(K5:M5)</f>
      </c>
      <c r="AF5" s="7">
        <f>SUM(N5:P5)</f>
      </c>
      <c r="AG5" s="31">
        <f>SUM(AC5:AF5)</f>
      </c>
      <c r="AH5" s="7">
        <f>SUM(Q5:S5)</f>
      </c>
      <c r="AI5" s="7">
        <f>SUM(T5:V5)</f>
      </c>
      <c r="AJ5" s="7">
        <f>SUM(W5:Y5)</f>
      </c>
      <c r="AK5" s="7">
        <f>SUM(Z5:AB5)</f>
      </c>
      <c r="AL5" s="31">
        <f>SUM(AH5:AK5)</f>
      </c>
      <c r="AM5" s="32">
        <f>AG5+AL5</f>
      </c>
    </row>
    <row r="6" spans="1:39" x14ac:dyDescent="0.25">
      <c r="A6" t="s">
        <v>72</v>
      </c>
      <c r="B6" s="7">
        <v>160000</v>
      </c>
      <c r="C6">
        <v>3</v>
      </c>
      <c r="D6" s="7">
        <f>B6/12</f>
      </c>
      <c r="E6" s="7">
        <f>IF(1&gt;=C6,D6,0)</f>
      </c>
      <c r="F6" s="7">
        <f>IF(2&gt;=C6,D6,0)</f>
      </c>
      <c r="G6" s="7">
        <f>IF(3&gt;=C6,D6,0)</f>
      </c>
      <c r="H6" s="7">
        <f>IF(4&gt;=C6,D6,0)</f>
      </c>
      <c r="I6" s="7">
        <f>IF(5&gt;=C6,D6,0)</f>
      </c>
      <c r="J6" s="7">
        <f>IF(6&gt;=C6,D6,0)</f>
      </c>
      <c r="K6" s="7">
        <f>IF(7&gt;=C6,D6,0)</f>
      </c>
      <c r="L6" s="7">
        <f>IF(8&gt;=C6,D6,0)</f>
      </c>
      <c r="M6" s="7">
        <f>IF(9&gt;=C6,D6,0)</f>
      </c>
      <c r="N6" s="7">
        <f>IF(10&gt;=C6,D6,0)</f>
      </c>
      <c r="O6" s="7">
        <f>IF(11&gt;=C6,D6,0)</f>
      </c>
      <c r="P6" s="7">
        <f>IF(12&gt;=C6,D6,0)</f>
      </c>
      <c r="Q6" s="7">
        <f>IF(13&gt;=C6,D6,0)</f>
      </c>
      <c r="R6" s="7">
        <f>IF(14&gt;=C6,D6,0)</f>
      </c>
      <c r="S6" s="7">
        <f>IF(15&gt;=C6,D6,0)</f>
      </c>
      <c r="T6" s="7">
        <f>IF(16&gt;=C6,D6,0)</f>
      </c>
      <c r="U6" s="7">
        <f>IF(17&gt;=C6,D6,0)</f>
      </c>
      <c r="V6" s="7">
        <f>IF(18&gt;=C6,D6,0)</f>
      </c>
      <c r="W6" s="7">
        <f>IF(19&gt;=C6,D6,0)</f>
      </c>
      <c r="X6" s="7">
        <f>IF(20&gt;=C6,D6,0)</f>
      </c>
      <c r="Y6" s="7">
        <f>IF(21&gt;=C6,D6,0)</f>
      </c>
      <c r="Z6" s="7">
        <f>IF(22&gt;=C6,D6,0)</f>
      </c>
      <c r="AA6" s="7">
        <f>IF(23&gt;=C6,D6,0)</f>
      </c>
      <c r="AB6" s="7">
        <f>IF(24&gt;=C6,D6,0)</f>
      </c>
      <c r="AC6" s="7">
        <f>SUM(E6:G6)</f>
      </c>
      <c r="AD6" s="7">
        <f>SUM(H6:J6)</f>
      </c>
      <c r="AE6" s="7">
        <f>SUM(K6:M6)</f>
      </c>
      <c r="AF6" s="7">
        <f>SUM(N6:P6)</f>
      </c>
      <c r="AG6" s="31">
        <f>SUM(AC6:AF6)</f>
      </c>
      <c r="AH6" s="7">
        <f>SUM(Q6:S6)</f>
      </c>
      <c r="AI6" s="7">
        <f>SUM(T6:V6)</f>
      </c>
      <c r="AJ6" s="7">
        <f>SUM(W6:Y6)</f>
      </c>
      <c r="AK6" s="7">
        <f>SUM(Z6:AB6)</f>
      </c>
      <c r="AL6" s="31">
        <f>SUM(AH6:AK6)</f>
      </c>
      <c r="AM6" s="32">
        <f>AG6+AL6</f>
      </c>
    </row>
    <row r="7" spans="1:39" x14ac:dyDescent="0.25">
      <c r="A7" t="s">
        <v>73</v>
      </c>
      <c r="B7" s="7">
        <v>130000</v>
      </c>
      <c r="C7">
        <v>4</v>
      </c>
      <c r="D7" s="7">
        <f>B7/12</f>
      </c>
      <c r="E7" s="7">
        <f>IF(1&gt;=C7,D7,0)</f>
      </c>
      <c r="F7" s="7">
        <f>IF(2&gt;=C7,D7,0)</f>
      </c>
      <c r="G7" s="7">
        <f>IF(3&gt;=C7,D7,0)</f>
      </c>
      <c r="H7" s="7">
        <f>IF(4&gt;=C7,D7,0)</f>
      </c>
      <c r="I7" s="7">
        <f>IF(5&gt;=C7,D7,0)</f>
      </c>
      <c r="J7" s="7">
        <f>IF(6&gt;=C7,D7,0)</f>
      </c>
      <c r="K7" s="7">
        <f>IF(7&gt;=C7,D7,0)</f>
      </c>
      <c r="L7" s="7">
        <f>IF(8&gt;=C7,D7,0)</f>
      </c>
      <c r="M7" s="7">
        <f>IF(9&gt;=C7,D7,0)</f>
      </c>
      <c r="N7" s="7">
        <f>IF(10&gt;=C7,D7,0)</f>
      </c>
      <c r="O7" s="7">
        <f>IF(11&gt;=C7,D7,0)</f>
      </c>
      <c r="P7" s="7">
        <f>IF(12&gt;=C7,D7,0)</f>
      </c>
      <c r="Q7" s="7">
        <f>IF(13&gt;=C7,D7,0)</f>
      </c>
      <c r="R7" s="7">
        <f>IF(14&gt;=C7,D7,0)</f>
      </c>
      <c r="S7" s="7">
        <f>IF(15&gt;=C7,D7,0)</f>
      </c>
      <c r="T7" s="7">
        <f>IF(16&gt;=C7,D7,0)</f>
      </c>
      <c r="U7" s="7">
        <f>IF(17&gt;=C7,D7,0)</f>
      </c>
      <c r="V7" s="7">
        <f>IF(18&gt;=C7,D7,0)</f>
      </c>
      <c r="W7" s="7">
        <f>IF(19&gt;=C7,D7,0)</f>
      </c>
      <c r="X7" s="7">
        <f>IF(20&gt;=C7,D7,0)</f>
      </c>
      <c r="Y7" s="7">
        <f>IF(21&gt;=C7,D7,0)</f>
      </c>
      <c r="Z7" s="7">
        <f>IF(22&gt;=C7,D7,0)</f>
      </c>
      <c r="AA7" s="7">
        <f>IF(23&gt;=C7,D7,0)</f>
      </c>
      <c r="AB7" s="7">
        <f>IF(24&gt;=C7,D7,0)</f>
      </c>
      <c r="AC7" s="7">
        <f>SUM(E7:G7)</f>
      </c>
      <c r="AD7" s="7">
        <f>SUM(H7:J7)</f>
      </c>
      <c r="AE7" s="7">
        <f>SUM(K7:M7)</f>
      </c>
      <c r="AF7" s="7">
        <f>SUM(N7:P7)</f>
      </c>
      <c r="AG7" s="31">
        <f>SUM(AC7:AF7)</f>
      </c>
      <c r="AH7" s="7">
        <f>SUM(Q7:S7)</f>
      </c>
      <c r="AI7" s="7">
        <f>SUM(T7:V7)</f>
      </c>
      <c r="AJ7" s="7">
        <f>SUM(W7:Y7)</f>
      </c>
      <c r="AK7" s="7">
        <f>SUM(Z7:AB7)</f>
      </c>
      <c r="AL7" s="31">
        <f>SUM(AH7:AK7)</f>
      </c>
      <c r="AM7" s="32">
        <f>AG7+AL7</f>
      </c>
    </row>
    <row r="8" spans="1:39" x14ac:dyDescent="0.25">
      <c r="A8" t="s">
        <v>74</v>
      </c>
      <c r="B8" s="7">
        <v>180000</v>
      </c>
      <c r="C8">
        <v>7</v>
      </c>
      <c r="D8" s="7">
        <f>B8/12</f>
      </c>
      <c r="E8" s="7">
        <f>IF(1&gt;=C8,D8,0)</f>
      </c>
      <c r="F8" s="7">
        <f>IF(2&gt;=C8,D8,0)</f>
      </c>
      <c r="G8" s="7">
        <f>IF(3&gt;=C8,D8,0)</f>
      </c>
      <c r="H8" s="7">
        <f>IF(4&gt;=C8,D8,0)</f>
      </c>
      <c r="I8" s="7">
        <f>IF(5&gt;=C8,D8,0)</f>
      </c>
      <c r="J8" s="7">
        <f>IF(6&gt;=C8,D8,0)</f>
      </c>
      <c r="K8" s="7">
        <f>IF(7&gt;=C8,D8,0)</f>
      </c>
      <c r="L8" s="7">
        <f>IF(8&gt;=C8,D8,0)</f>
      </c>
      <c r="M8" s="7">
        <f>IF(9&gt;=C8,D8,0)</f>
      </c>
      <c r="N8" s="7">
        <f>IF(10&gt;=C8,D8,0)</f>
      </c>
      <c r="O8" s="7">
        <f>IF(11&gt;=C8,D8,0)</f>
      </c>
      <c r="P8" s="7">
        <f>IF(12&gt;=C8,D8,0)</f>
      </c>
      <c r="Q8" s="7">
        <f>IF(13&gt;=C8,D8,0)</f>
      </c>
      <c r="R8" s="7">
        <f>IF(14&gt;=C8,D8,0)</f>
      </c>
      <c r="S8" s="7">
        <f>IF(15&gt;=C8,D8,0)</f>
      </c>
      <c r="T8" s="7">
        <f>IF(16&gt;=C8,D8,0)</f>
      </c>
      <c r="U8" s="7">
        <f>IF(17&gt;=C8,D8,0)</f>
      </c>
      <c r="V8" s="7">
        <f>IF(18&gt;=C8,D8,0)</f>
      </c>
      <c r="W8" s="7">
        <f>IF(19&gt;=C8,D8,0)</f>
      </c>
      <c r="X8" s="7">
        <f>IF(20&gt;=C8,D8,0)</f>
      </c>
      <c r="Y8" s="7">
        <f>IF(21&gt;=C8,D8,0)</f>
      </c>
      <c r="Z8" s="7">
        <f>IF(22&gt;=C8,D8,0)</f>
      </c>
      <c r="AA8" s="7">
        <f>IF(23&gt;=C8,D8,0)</f>
      </c>
      <c r="AB8" s="7">
        <f>IF(24&gt;=C8,D8,0)</f>
      </c>
      <c r="AC8" s="7">
        <f>SUM(E8:G8)</f>
      </c>
      <c r="AD8" s="7">
        <f>SUM(H8:J8)</f>
      </c>
      <c r="AE8" s="7">
        <f>SUM(K8:M8)</f>
      </c>
      <c r="AF8" s="7">
        <f>SUM(N8:P8)</f>
      </c>
      <c r="AG8" s="31">
        <f>SUM(AC8:AF8)</f>
      </c>
      <c r="AH8" s="7">
        <f>SUM(Q8:S8)</f>
      </c>
      <c r="AI8" s="7">
        <f>SUM(T8:V8)</f>
      </c>
      <c r="AJ8" s="7">
        <f>SUM(W8:Y8)</f>
      </c>
      <c r="AK8" s="7">
        <f>SUM(Z8:AB8)</f>
      </c>
      <c r="AL8" s="31">
        <f>SUM(AH8:AK8)</f>
      </c>
      <c r="AM8" s="32">
        <f>AG8+AL8</f>
      </c>
    </row>
    <row r="9" spans="1:39" x14ac:dyDescent="0.25">
      <c r="A9" t="s">
        <v>75</v>
      </c>
      <c r="B9" s="7">
        <v>140000</v>
      </c>
      <c r="C9">
        <v>7</v>
      </c>
      <c r="D9" s="7">
        <f>B9/12</f>
      </c>
      <c r="E9" s="7">
        <f>IF(1&gt;=C9,D9,0)</f>
      </c>
      <c r="F9" s="7">
        <f>IF(2&gt;=C9,D9,0)</f>
      </c>
      <c r="G9" s="7">
        <f>IF(3&gt;=C9,D9,0)</f>
      </c>
      <c r="H9" s="7">
        <f>IF(4&gt;=C9,D9,0)</f>
      </c>
      <c r="I9" s="7">
        <f>IF(5&gt;=C9,D9,0)</f>
      </c>
      <c r="J9" s="7">
        <f>IF(6&gt;=C9,D9,0)</f>
      </c>
      <c r="K9" s="7">
        <f>IF(7&gt;=C9,D9,0)</f>
      </c>
      <c r="L9" s="7">
        <f>IF(8&gt;=C9,D9,0)</f>
      </c>
      <c r="M9" s="7">
        <f>IF(9&gt;=C9,D9,0)</f>
      </c>
      <c r="N9" s="7">
        <f>IF(10&gt;=C9,D9,0)</f>
      </c>
      <c r="O9" s="7">
        <f>IF(11&gt;=C9,D9,0)</f>
      </c>
      <c r="P9" s="7">
        <f>IF(12&gt;=C9,D9,0)</f>
      </c>
      <c r="Q9" s="7">
        <f>IF(13&gt;=C9,D9,0)</f>
      </c>
      <c r="R9" s="7">
        <f>IF(14&gt;=C9,D9,0)</f>
      </c>
      <c r="S9" s="7">
        <f>IF(15&gt;=C9,D9,0)</f>
      </c>
      <c r="T9" s="7">
        <f>IF(16&gt;=C9,D9,0)</f>
      </c>
      <c r="U9" s="7">
        <f>IF(17&gt;=C9,D9,0)</f>
      </c>
      <c r="V9" s="7">
        <f>IF(18&gt;=C9,D9,0)</f>
      </c>
      <c r="W9" s="7">
        <f>IF(19&gt;=C9,D9,0)</f>
      </c>
      <c r="X9" s="7">
        <f>IF(20&gt;=C9,D9,0)</f>
      </c>
      <c r="Y9" s="7">
        <f>IF(21&gt;=C9,D9,0)</f>
      </c>
      <c r="Z9" s="7">
        <f>IF(22&gt;=C9,D9,0)</f>
      </c>
      <c r="AA9" s="7">
        <f>IF(23&gt;=C9,D9,0)</f>
      </c>
      <c r="AB9" s="7">
        <f>IF(24&gt;=C9,D9,0)</f>
      </c>
      <c r="AC9" s="7">
        <f>SUM(E9:G9)</f>
      </c>
      <c r="AD9" s="7">
        <f>SUM(H9:J9)</f>
      </c>
      <c r="AE9" s="7">
        <f>SUM(K9:M9)</f>
      </c>
      <c r="AF9" s="7">
        <f>SUM(N9:P9)</f>
      </c>
      <c r="AG9" s="31">
        <f>SUM(AC9:AF9)</f>
      </c>
      <c r="AH9" s="7">
        <f>SUM(Q9:S9)</f>
      </c>
      <c r="AI9" s="7">
        <f>SUM(T9:V9)</f>
      </c>
      <c r="AJ9" s="7">
        <f>SUM(W9:Y9)</f>
      </c>
      <c r="AK9" s="7">
        <f>SUM(Z9:AB9)</f>
      </c>
      <c r="AL9" s="31">
        <f>SUM(AH9:AK9)</f>
      </c>
      <c r="AM9" s="32">
        <f>AG9+AL9</f>
      </c>
    </row>
    <row r="10" spans="1:39" x14ac:dyDescent="0.25">
      <c r="A10" t="s">
        <v>76</v>
      </c>
      <c r="B10" s="7">
        <v>140000</v>
      </c>
      <c r="C10">
        <v>8</v>
      </c>
      <c r="D10" s="7">
        <f>B10/12</f>
      </c>
      <c r="E10" s="7">
        <f>IF(1&gt;=C10,D10,0)</f>
      </c>
      <c r="F10" s="7">
        <f>IF(2&gt;=C10,D10,0)</f>
      </c>
      <c r="G10" s="7">
        <f>IF(3&gt;=C10,D10,0)</f>
      </c>
      <c r="H10" s="7">
        <f>IF(4&gt;=C10,D10,0)</f>
      </c>
      <c r="I10" s="7">
        <f>IF(5&gt;=C10,D10,0)</f>
      </c>
      <c r="J10" s="7">
        <f>IF(6&gt;=C10,D10,0)</f>
      </c>
      <c r="K10" s="7">
        <f>IF(7&gt;=C10,D10,0)</f>
      </c>
      <c r="L10" s="7">
        <f>IF(8&gt;=C10,D10,0)</f>
      </c>
      <c r="M10" s="7">
        <f>IF(9&gt;=C10,D10,0)</f>
      </c>
      <c r="N10" s="7">
        <f>IF(10&gt;=C10,D10,0)</f>
      </c>
      <c r="O10" s="7">
        <f>IF(11&gt;=C10,D10,0)</f>
      </c>
      <c r="P10" s="7">
        <f>IF(12&gt;=C10,D10,0)</f>
      </c>
      <c r="Q10" s="7">
        <f>IF(13&gt;=C10,D10,0)</f>
      </c>
      <c r="R10" s="7">
        <f>IF(14&gt;=C10,D10,0)</f>
      </c>
      <c r="S10" s="7">
        <f>IF(15&gt;=C10,D10,0)</f>
      </c>
      <c r="T10" s="7">
        <f>IF(16&gt;=C10,D10,0)</f>
      </c>
      <c r="U10" s="7">
        <f>IF(17&gt;=C10,D10,0)</f>
      </c>
      <c r="V10" s="7">
        <f>IF(18&gt;=C10,D10,0)</f>
      </c>
      <c r="W10" s="7">
        <f>IF(19&gt;=C10,D10,0)</f>
      </c>
      <c r="X10" s="7">
        <f>IF(20&gt;=C10,D10,0)</f>
      </c>
      <c r="Y10" s="7">
        <f>IF(21&gt;=C10,D10,0)</f>
      </c>
      <c r="Z10" s="7">
        <f>IF(22&gt;=C10,D10,0)</f>
      </c>
      <c r="AA10" s="7">
        <f>IF(23&gt;=C10,D10,0)</f>
      </c>
      <c r="AB10" s="7">
        <f>IF(24&gt;=C10,D10,0)</f>
      </c>
      <c r="AC10" s="7">
        <f>SUM(E10:G10)</f>
      </c>
      <c r="AD10" s="7">
        <f>SUM(H10:J10)</f>
      </c>
      <c r="AE10" s="7">
        <f>SUM(K10:M10)</f>
      </c>
      <c r="AF10" s="7">
        <f>SUM(N10:P10)</f>
      </c>
      <c r="AG10" s="31">
        <f>SUM(AC10:AF10)</f>
      </c>
      <c r="AH10" s="7">
        <f>SUM(Q10:S10)</f>
      </c>
      <c r="AI10" s="7">
        <f>SUM(T10:V10)</f>
      </c>
      <c r="AJ10" s="7">
        <f>SUM(W10:Y10)</f>
      </c>
      <c r="AK10" s="7">
        <f>SUM(Z10:AB10)</f>
      </c>
      <c r="AL10" s="31">
        <f>SUM(AH10:AK10)</f>
      </c>
      <c r="AM10" s="32">
        <f>AG10+AL10</f>
      </c>
    </row>
    <row r="11" spans="1:39" x14ac:dyDescent="0.25">
      <c r="A11" t="s">
        <v>77</v>
      </c>
      <c r="B11" s="7">
        <v>120000</v>
      </c>
      <c r="C11">
        <v>9</v>
      </c>
      <c r="D11" s="7">
        <f>B11/12</f>
      </c>
      <c r="E11" s="7">
        <f>IF(1&gt;=C11,D11,0)</f>
      </c>
      <c r="F11" s="7">
        <f>IF(2&gt;=C11,D11,0)</f>
      </c>
      <c r="G11" s="7">
        <f>IF(3&gt;=C11,D11,0)</f>
      </c>
      <c r="H11" s="7">
        <f>IF(4&gt;=C11,D11,0)</f>
      </c>
      <c r="I11" s="7">
        <f>IF(5&gt;=C11,D11,0)</f>
      </c>
      <c r="J11" s="7">
        <f>IF(6&gt;=C11,D11,0)</f>
      </c>
      <c r="K11" s="7">
        <f>IF(7&gt;=C11,D11,0)</f>
      </c>
      <c r="L11" s="7">
        <f>IF(8&gt;=C11,D11,0)</f>
      </c>
      <c r="M11" s="7">
        <f>IF(9&gt;=C11,D11,0)</f>
      </c>
      <c r="N11" s="7">
        <f>IF(10&gt;=C11,D11,0)</f>
      </c>
      <c r="O11" s="7">
        <f>IF(11&gt;=C11,D11,0)</f>
      </c>
      <c r="P11" s="7">
        <f>IF(12&gt;=C11,D11,0)</f>
      </c>
      <c r="Q11" s="7">
        <f>IF(13&gt;=C11,D11,0)</f>
      </c>
      <c r="R11" s="7">
        <f>IF(14&gt;=C11,D11,0)</f>
      </c>
      <c r="S11" s="7">
        <f>IF(15&gt;=C11,D11,0)</f>
      </c>
      <c r="T11" s="7">
        <f>IF(16&gt;=C11,D11,0)</f>
      </c>
      <c r="U11" s="7">
        <f>IF(17&gt;=C11,D11,0)</f>
      </c>
      <c r="V11" s="7">
        <f>IF(18&gt;=C11,D11,0)</f>
      </c>
      <c r="W11" s="7">
        <f>IF(19&gt;=C11,D11,0)</f>
      </c>
      <c r="X11" s="7">
        <f>IF(20&gt;=C11,D11,0)</f>
      </c>
      <c r="Y11" s="7">
        <f>IF(21&gt;=C11,D11,0)</f>
      </c>
      <c r="Z11" s="7">
        <f>IF(22&gt;=C11,D11,0)</f>
      </c>
      <c r="AA11" s="7">
        <f>IF(23&gt;=C11,D11,0)</f>
      </c>
      <c r="AB11" s="7">
        <f>IF(24&gt;=C11,D11,0)</f>
      </c>
      <c r="AC11" s="7">
        <f>SUM(E11:G11)</f>
      </c>
      <c r="AD11" s="7">
        <f>SUM(H11:J11)</f>
      </c>
      <c r="AE11" s="7">
        <f>SUM(K11:M11)</f>
      </c>
      <c r="AF11" s="7">
        <f>SUM(N11:P11)</f>
      </c>
      <c r="AG11" s="31">
        <f>SUM(AC11:AF11)</f>
      </c>
      <c r="AH11" s="7">
        <f>SUM(Q11:S11)</f>
      </c>
      <c r="AI11" s="7">
        <f>SUM(T11:V11)</f>
      </c>
      <c r="AJ11" s="7">
        <f>SUM(W11:Y11)</f>
      </c>
      <c r="AK11" s="7">
        <f>SUM(Z11:AB11)</f>
      </c>
      <c r="AL11" s="31">
        <f>SUM(AH11:AK11)</f>
      </c>
      <c r="AM11" s="32">
        <f>AG11+AL11</f>
      </c>
    </row>
    <row r="12" spans="1:39" x14ac:dyDescent="0.25">
      <c r="A12" t="s">
        <v>78</v>
      </c>
      <c r="B12" s="7">
        <v>160000</v>
      </c>
      <c r="C12">
        <v>13</v>
      </c>
      <c r="D12" s="7">
        <f>B12/12</f>
      </c>
      <c r="E12" s="7">
        <f>IF(1&gt;=C12,D12,0)</f>
      </c>
      <c r="F12" s="7">
        <f>IF(2&gt;=C12,D12,0)</f>
      </c>
      <c r="G12" s="7">
        <f>IF(3&gt;=C12,D12,0)</f>
      </c>
      <c r="H12" s="7">
        <f>IF(4&gt;=C12,D12,0)</f>
      </c>
      <c r="I12" s="7">
        <f>IF(5&gt;=C12,D12,0)</f>
      </c>
      <c r="J12" s="7">
        <f>IF(6&gt;=C12,D12,0)</f>
      </c>
      <c r="K12" s="7">
        <f>IF(7&gt;=C12,D12,0)</f>
      </c>
      <c r="L12" s="7">
        <f>IF(8&gt;=C12,D12,0)</f>
      </c>
      <c r="M12" s="7">
        <f>IF(9&gt;=C12,D12,0)</f>
      </c>
      <c r="N12" s="7">
        <f>IF(10&gt;=C12,D12,0)</f>
      </c>
      <c r="O12" s="7">
        <f>IF(11&gt;=C12,D12,0)</f>
      </c>
      <c r="P12" s="7">
        <f>IF(12&gt;=C12,D12,0)</f>
      </c>
      <c r="Q12" s="7">
        <f>IF(13&gt;=C12,D12,0)</f>
      </c>
      <c r="R12" s="7">
        <f>IF(14&gt;=C12,D12,0)</f>
      </c>
      <c r="S12" s="7">
        <f>IF(15&gt;=C12,D12,0)</f>
      </c>
      <c r="T12" s="7">
        <f>IF(16&gt;=C12,D12,0)</f>
      </c>
      <c r="U12" s="7">
        <f>IF(17&gt;=C12,D12,0)</f>
      </c>
      <c r="V12" s="7">
        <f>IF(18&gt;=C12,D12,0)</f>
      </c>
      <c r="W12" s="7">
        <f>IF(19&gt;=C12,D12,0)</f>
      </c>
      <c r="X12" s="7">
        <f>IF(20&gt;=C12,D12,0)</f>
      </c>
      <c r="Y12" s="7">
        <f>IF(21&gt;=C12,D12,0)</f>
      </c>
      <c r="Z12" s="7">
        <f>IF(22&gt;=C12,D12,0)</f>
      </c>
      <c r="AA12" s="7">
        <f>IF(23&gt;=C12,D12,0)</f>
      </c>
      <c r="AB12" s="7">
        <f>IF(24&gt;=C12,D12,0)</f>
      </c>
      <c r="AC12" s="7">
        <f>SUM(E12:G12)</f>
      </c>
      <c r="AD12" s="7">
        <f>SUM(H12:J12)</f>
      </c>
      <c r="AE12" s="7">
        <f>SUM(K12:M12)</f>
      </c>
      <c r="AF12" s="7">
        <f>SUM(N12:P12)</f>
      </c>
      <c r="AG12" s="31">
        <f>SUM(AC12:AF12)</f>
      </c>
      <c r="AH12" s="7">
        <f>SUM(Q12:S12)</f>
      </c>
      <c r="AI12" s="7">
        <f>SUM(T12:V12)</f>
      </c>
      <c r="AJ12" s="7">
        <f>SUM(W12:Y12)</f>
      </c>
      <c r="AK12" s="7">
        <f>SUM(Z12:AB12)</f>
      </c>
      <c r="AL12" s="31">
        <f>SUM(AH12:AK12)</f>
      </c>
      <c r="AM12" s="32">
        <f>AG12+AL12</f>
      </c>
    </row>
    <row r="13" spans="1:39" x14ac:dyDescent="0.25">
      <c r="A13" t="s">
        <v>79</v>
      </c>
      <c r="B13" s="7">
        <v>150000</v>
      </c>
      <c r="C13">
        <v>13</v>
      </c>
      <c r="D13" s="7">
        <f>B13/12</f>
      </c>
      <c r="E13" s="7">
        <f>IF(1&gt;=C13,D13,0)</f>
      </c>
      <c r="F13" s="7">
        <f>IF(2&gt;=C13,D13,0)</f>
      </c>
      <c r="G13" s="7">
        <f>IF(3&gt;=C13,D13,0)</f>
      </c>
      <c r="H13" s="7">
        <f>IF(4&gt;=C13,D13,0)</f>
      </c>
      <c r="I13" s="7">
        <f>IF(5&gt;=C13,D13,0)</f>
      </c>
      <c r="J13" s="7">
        <f>IF(6&gt;=C13,D13,0)</f>
      </c>
      <c r="K13" s="7">
        <f>IF(7&gt;=C13,D13,0)</f>
      </c>
      <c r="L13" s="7">
        <f>IF(8&gt;=C13,D13,0)</f>
      </c>
      <c r="M13" s="7">
        <f>IF(9&gt;=C13,D13,0)</f>
      </c>
      <c r="N13" s="7">
        <f>IF(10&gt;=C13,D13,0)</f>
      </c>
      <c r="O13" s="7">
        <f>IF(11&gt;=C13,D13,0)</f>
      </c>
      <c r="P13" s="7">
        <f>IF(12&gt;=C13,D13,0)</f>
      </c>
      <c r="Q13" s="7">
        <f>IF(13&gt;=C13,D13,0)</f>
      </c>
      <c r="R13" s="7">
        <f>IF(14&gt;=C13,D13,0)</f>
      </c>
      <c r="S13" s="7">
        <f>IF(15&gt;=C13,D13,0)</f>
      </c>
      <c r="T13" s="7">
        <f>IF(16&gt;=C13,D13,0)</f>
      </c>
      <c r="U13" s="7">
        <f>IF(17&gt;=C13,D13,0)</f>
      </c>
      <c r="V13" s="7">
        <f>IF(18&gt;=C13,D13,0)</f>
      </c>
      <c r="W13" s="7">
        <f>IF(19&gt;=C13,D13,0)</f>
      </c>
      <c r="X13" s="7">
        <f>IF(20&gt;=C13,D13,0)</f>
      </c>
      <c r="Y13" s="7">
        <f>IF(21&gt;=C13,D13,0)</f>
      </c>
      <c r="Z13" s="7">
        <f>IF(22&gt;=C13,D13,0)</f>
      </c>
      <c r="AA13" s="7">
        <f>IF(23&gt;=C13,D13,0)</f>
      </c>
      <c r="AB13" s="7">
        <f>IF(24&gt;=C13,D13,0)</f>
      </c>
      <c r="AC13" s="7">
        <f>SUM(E13:G13)</f>
      </c>
      <c r="AD13" s="7">
        <f>SUM(H13:J13)</f>
      </c>
      <c r="AE13" s="7">
        <f>SUM(K13:M13)</f>
      </c>
      <c r="AF13" s="7">
        <f>SUM(N13:P13)</f>
      </c>
      <c r="AG13" s="31">
        <f>SUM(AC13:AF13)</f>
      </c>
      <c r="AH13" s="7">
        <f>SUM(Q13:S13)</f>
      </c>
      <c r="AI13" s="7">
        <f>SUM(T13:V13)</f>
      </c>
      <c r="AJ13" s="7">
        <f>SUM(W13:Y13)</f>
      </c>
      <c r="AK13" s="7">
        <f>SUM(Z13:AB13)</f>
      </c>
      <c r="AL13" s="31">
        <f>SUM(AH13:AK13)</f>
      </c>
      <c r="AM13" s="32">
        <f>AG13+AL13</f>
      </c>
    </row>
    <row r="14" spans="1:39" x14ac:dyDescent="0.25">
      <c r="A14" t="s">
        <v>80</v>
      </c>
      <c r="B14" s="7">
        <v>200000</v>
      </c>
      <c r="C14">
        <v>14</v>
      </c>
      <c r="D14" s="7">
        <f>B14/12</f>
      </c>
      <c r="E14" s="7">
        <f>IF(1&gt;=C14,D14,0)</f>
      </c>
      <c r="F14" s="7">
        <f>IF(2&gt;=C14,D14,0)</f>
      </c>
      <c r="G14" s="7">
        <f>IF(3&gt;=C14,D14,0)</f>
      </c>
      <c r="H14" s="7">
        <f>IF(4&gt;=C14,D14,0)</f>
      </c>
      <c r="I14" s="7">
        <f>IF(5&gt;=C14,D14,0)</f>
      </c>
      <c r="J14" s="7">
        <f>IF(6&gt;=C14,D14,0)</f>
      </c>
      <c r="K14" s="7">
        <f>IF(7&gt;=C14,D14,0)</f>
      </c>
      <c r="L14" s="7">
        <f>IF(8&gt;=C14,D14,0)</f>
      </c>
      <c r="M14" s="7">
        <f>IF(9&gt;=C14,D14,0)</f>
      </c>
      <c r="N14" s="7">
        <f>IF(10&gt;=C14,D14,0)</f>
      </c>
      <c r="O14" s="7">
        <f>IF(11&gt;=C14,D14,0)</f>
      </c>
      <c r="P14" s="7">
        <f>IF(12&gt;=C14,D14,0)</f>
      </c>
      <c r="Q14" s="7">
        <f>IF(13&gt;=C14,D14,0)</f>
      </c>
      <c r="R14" s="7">
        <f>IF(14&gt;=C14,D14,0)</f>
      </c>
      <c r="S14" s="7">
        <f>IF(15&gt;=C14,D14,0)</f>
      </c>
      <c r="T14" s="7">
        <f>IF(16&gt;=C14,D14,0)</f>
      </c>
      <c r="U14" s="7">
        <f>IF(17&gt;=C14,D14,0)</f>
      </c>
      <c r="V14" s="7">
        <f>IF(18&gt;=C14,D14,0)</f>
      </c>
      <c r="W14" s="7">
        <f>IF(19&gt;=C14,D14,0)</f>
      </c>
      <c r="X14" s="7">
        <f>IF(20&gt;=C14,D14,0)</f>
      </c>
      <c r="Y14" s="7">
        <f>IF(21&gt;=C14,D14,0)</f>
      </c>
      <c r="Z14" s="7">
        <f>IF(22&gt;=C14,D14,0)</f>
      </c>
      <c r="AA14" s="7">
        <f>IF(23&gt;=C14,D14,0)</f>
      </c>
      <c r="AB14" s="7">
        <f>IF(24&gt;=C14,D14,0)</f>
      </c>
      <c r="AC14" s="7">
        <f>SUM(E14:G14)</f>
      </c>
      <c r="AD14" s="7">
        <f>SUM(H14:J14)</f>
      </c>
      <c r="AE14" s="7">
        <f>SUM(K14:M14)</f>
      </c>
      <c r="AF14" s="7">
        <f>SUM(N14:P14)</f>
      </c>
      <c r="AG14" s="31">
        <f>SUM(AC14:AF14)</f>
      </c>
      <c r="AH14" s="7">
        <f>SUM(Q14:S14)</f>
      </c>
      <c r="AI14" s="7">
        <f>SUM(T14:V14)</f>
      </c>
      <c r="AJ14" s="7">
        <f>SUM(W14:Y14)</f>
      </c>
      <c r="AK14" s="7">
        <f>SUM(Z14:AB14)</f>
      </c>
      <c r="AL14" s="31">
        <f>SUM(AH14:AK14)</f>
      </c>
      <c r="AM14" s="32">
        <f>AG14+AL14</f>
      </c>
    </row>
    <row r="15" spans="1:39" x14ac:dyDescent="0.25">
      <c r="A15" t="s">
        <v>81</v>
      </c>
      <c r="B15" s="7">
        <v>180000</v>
      </c>
      <c r="C15">
        <v>15</v>
      </c>
      <c r="D15" s="7">
        <f>B15/12</f>
      </c>
      <c r="E15" s="7">
        <f>IF(1&gt;=C15,D15,0)</f>
      </c>
      <c r="F15" s="7">
        <f>IF(2&gt;=C15,D15,0)</f>
      </c>
      <c r="G15" s="7">
        <f>IF(3&gt;=C15,D15,0)</f>
      </c>
      <c r="H15" s="7">
        <f>IF(4&gt;=C15,D15,0)</f>
      </c>
      <c r="I15" s="7">
        <f>IF(5&gt;=C15,D15,0)</f>
      </c>
      <c r="J15" s="7">
        <f>IF(6&gt;=C15,D15,0)</f>
      </c>
      <c r="K15" s="7">
        <f>IF(7&gt;=C15,D15,0)</f>
      </c>
      <c r="L15" s="7">
        <f>IF(8&gt;=C15,D15,0)</f>
      </c>
      <c r="M15" s="7">
        <f>IF(9&gt;=C15,D15,0)</f>
      </c>
      <c r="N15" s="7">
        <f>IF(10&gt;=C15,D15,0)</f>
      </c>
      <c r="O15" s="7">
        <f>IF(11&gt;=C15,D15,0)</f>
      </c>
      <c r="P15" s="7">
        <f>IF(12&gt;=C15,D15,0)</f>
      </c>
      <c r="Q15" s="7">
        <f>IF(13&gt;=C15,D15,0)</f>
      </c>
      <c r="R15" s="7">
        <f>IF(14&gt;=C15,D15,0)</f>
      </c>
      <c r="S15" s="7">
        <f>IF(15&gt;=C15,D15,0)</f>
      </c>
      <c r="T15" s="7">
        <f>IF(16&gt;=C15,D15,0)</f>
      </c>
      <c r="U15" s="7">
        <f>IF(17&gt;=C15,D15,0)</f>
      </c>
      <c r="V15" s="7">
        <f>IF(18&gt;=C15,D15,0)</f>
      </c>
      <c r="W15" s="7">
        <f>IF(19&gt;=C15,D15,0)</f>
      </c>
      <c r="X15" s="7">
        <f>IF(20&gt;=C15,D15,0)</f>
      </c>
      <c r="Y15" s="7">
        <f>IF(21&gt;=C15,D15,0)</f>
      </c>
      <c r="Z15" s="7">
        <f>IF(22&gt;=C15,D15,0)</f>
      </c>
      <c r="AA15" s="7">
        <f>IF(23&gt;=C15,D15,0)</f>
      </c>
      <c r="AB15" s="7">
        <f>IF(24&gt;=C15,D15,0)</f>
      </c>
      <c r="AC15" s="7">
        <f>SUM(E15:G15)</f>
      </c>
      <c r="AD15" s="7">
        <f>SUM(H15:J15)</f>
      </c>
      <c r="AE15" s="7">
        <f>SUM(K15:M15)</f>
      </c>
      <c r="AF15" s="7">
        <f>SUM(N15:P15)</f>
      </c>
      <c r="AG15" s="31">
        <f>SUM(AC15:AF15)</f>
      </c>
      <c r="AH15" s="7">
        <f>SUM(Q15:S15)</f>
      </c>
      <c r="AI15" s="7">
        <f>SUM(T15:V15)</f>
      </c>
      <c r="AJ15" s="7">
        <f>SUM(W15:Y15)</f>
      </c>
      <c r="AK15" s="7">
        <f>SUM(Z15:AB15)</f>
      </c>
      <c r="AL15" s="31">
        <f>SUM(AH15:AK15)</f>
      </c>
      <c r="AM15" s="32">
        <f>AG15+AL15</f>
      </c>
    </row>
    <row r="16" spans="1:39" x14ac:dyDescent="0.25">
      <c r="A16" t="s">
        <v>82</v>
      </c>
      <c r="B16" s="7">
        <v>150000</v>
      </c>
      <c r="C16">
        <v>16</v>
      </c>
      <c r="D16" s="7">
        <f>B16/12</f>
      </c>
      <c r="E16" s="7">
        <f>IF(1&gt;=C16,D16,0)</f>
      </c>
      <c r="F16" s="7">
        <f>IF(2&gt;=C16,D16,0)</f>
      </c>
      <c r="G16" s="7">
        <f>IF(3&gt;=C16,D16,0)</f>
      </c>
      <c r="H16" s="7">
        <f>IF(4&gt;=C16,D16,0)</f>
      </c>
      <c r="I16" s="7">
        <f>IF(5&gt;=C16,D16,0)</f>
      </c>
      <c r="J16" s="7">
        <f>IF(6&gt;=C16,D16,0)</f>
      </c>
      <c r="K16" s="7">
        <f>IF(7&gt;=C16,D16,0)</f>
      </c>
      <c r="L16" s="7">
        <f>IF(8&gt;=C16,D16,0)</f>
      </c>
      <c r="M16" s="7">
        <f>IF(9&gt;=C16,D16,0)</f>
      </c>
      <c r="N16" s="7">
        <f>IF(10&gt;=C16,D16,0)</f>
      </c>
      <c r="O16" s="7">
        <f>IF(11&gt;=C16,D16,0)</f>
      </c>
      <c r="P16" s="7">
        <f>IF(12&gt;=C16,D16,0)</f>
      </c>
      <c r="Q16" s="7">
        <f>IF(13&gt;=C16,D16,0)</f>
      </c>
      <c r="R16" s="7">
        <f>IF(14&gt;=C16,D16,0)</f>
      </c>
      <c r="S16" s="7">
        <f>IF(15&gt;=C16,D16,0)</f>
      </c>
      <c r="T16" s="7">
        <f>IF(16&gt;=C16,D16,0)</f>
      </c>
      <c r="U16" s="7">
        <f>IF(17&gt;=C16,D16,0)</f>
      </c>
      <c r="V16" s="7">
        <f>IF(18&gt;=C16,D16,0)</f>
      </c>
      <c r="W16" s="7">
        <f>IF(19&gt;=C16,D16,0)</f>
      </c>
      <c r="X16" s="7">
        <f>IF(20&gt;=C16,D16,0)</f>
      </c>
      <c r="Y16" s="7">
        <f>IF(21&gt;=C16,D16,0)</f>
      </c>
      <c r="Z16" s="7">
        <f>IF(22&gt;=C16,D16,0)</f>
      </c>
      <c r="AA16" s="7">
        <f>IF(23&gt;=C16,D16,0)</f>
      </c>
      <c r="AB16" s="7">
        <f>IF(24&gt;=C16,D16,0)</f>
      </c>
      <c r="AC16" s="7">
        <f>SUM(E16:G16)</f>
      </c>
      <c r="AD16" s="7">
        <f>SUM(H16:J16)</f>
      </c>
      <c r="AE16" s="7">
        <f>SUM(K16:M16)</f>
      </c>
      <c r="AF16" s="7">
        <f>SUM(N16:P16)</f>
      </c>
      <c r="AG16" s="31">
        <f>SUM(AC16:AF16)</f>
      </c>
      <c r="AH16" s="7">
        <f>SUM(Q16:S16)</f>
      </c>
      <c r="AI16" s="7">
        <f>SUM(T16:V16)</f>
      </c>
      <c r="AJ16" s="7">
        <f>SUM(W16:Y16)</f>
      </c>
      <c r="AK16" s="7">
        <f>SUM(Z16:AB16)</f>
      </c>
      <c r="AL16" s="31">
        <f>SUM(AH16:AK16)</f>
      </c>
      <c r="AM16" s="32">
        <f>AG16+AL16</f>
      </c>
    </row>
    <row r="17" spans="1:39" x14ac:dyDescent="0.25">
      <c r="A17" t="s">
        <v>83</v>
      </c>
      <c r="B17" s="7">
        <v>130000</v>
      </c>
      <c r="C17">
        <v>18</v>
      </c>
      <c r="D17" s="7">
        <f>B17/12</f>
      </c>
      <c r="E17" s="7">
        <f>IF(1&gt;=C17,D17,0)</f>
      </c>
      <c r="F17" s="7">
        <f>IF(2&gt;=C17,D17,0)</f>
      </c>
      <c r="G17" s="7">
        <f>IF(3&gt;=C17,D17,0)</f>
      </c>
      <c r="H17" s="7">
        <f>IF(4&gt;=C17,D17,0)</f>
      </c>
      <c r="I17" s="7">
        <f>IF(5&gt;=C17,D17,0)</f>
      </c>
      <c r="J17" s="7">
        <f>IF(6&gt;=C17,D17,0)</f>
      </c>
      <c r="K17" s="7">
        <f>IF(7&gt;=C17,D17,0)</f>
      </c>
      <c r="L17" s="7">
        <f>IF(8&gt;=C17,D17,0)</f>
      </c>
      <c r="M17" s="7">
        <f>IF(9&gt;=C17,D17,0)</f>
      </c>
      <c r="N17" s="7">
        <f>IF(10&gt;=C17,D17,0)</f>
      </c>
      <c r="O17" s="7">
        <f>IF(11&gt;=C17,D17,0)</f>
      </c>
      <c r="P17" s="7">
        <f>IF(12&gt;=C17,D17,0)</f>
      </c>
      <c r="Q17" s="7">
        <f>IF(13&gt;=C17,D17,0)</f>
      </c>
      <c r="R17" s="7">
        <f>IF(14&gt;=C17,D17,0)</f>
      </c>
      <c r="S17" s="7">
        <f>IF(15&gt;=C17,D17,0)</f>
      </c>
      <c r="T17" s="7">
        <f>IF(16&gt;=C17,D17,0)</f>
      </c>
      <c r="U17" s="7">
        <f>IF(17&gt;=C17,D17,0)</f>
      </c>
      <c r="V17" s="7">
        <f>IF(18&gt;=C17,D17,0)</f>
      </c>
      <c r="W17" s="7">
        <f>IF(19&gt;=C17,D17,0)</f>
      </c>
      <c r="X17" s="7">
        <f>IF(20&gt;=C17,D17,0)</f>
      </c>
      <c r="Y17" s="7">
        <f>IF(21&gt;=C17,D17,0)</f>
      </c>
      <c r="Z17" s="7">
        <f>IF(22&gt;=C17,D17,0)</f>
      </c>
      <c r="AA17" s="7">
        <f>IF(23&gt;=C17,D17,0)</f>
      </c>
      <c r="AB17" s="7">
        <f>IF(24&gt;=C17,D17,0)</f>
      </c>
      <c r="AC17" s="7">
        <f>SUM(E17:G17)</f>
      </c>
      <c r="AD17" s="7">
        <f>SUM(H17:J17)</f>
      </c>
      <c r="AE17" s="7">
        <f>SUM(K17:M17)</f>
      </c>
      <c r="AF17" s="7">
        <f>SUM(N17:P17)</f>
      </c>
      <c r="AG17" s="31">
        <f>SUM(AC17:AF17)</f>
      </c>
      <c r="AH17" s="7">
        <f>SUM(Q17:S17)</f>
      </c>
      <c r="AI17" s="7">
        <f>SUM(T17:V17)</f>
      </c>
      <c r="AJ17" s="7">
        <f>SUM(W17:Y17)</f>
      </c>
      <c r="AK17" s="7">
        <f>SUM(Z17:AB17)</f>
      </c>
      <c r="AL17" s="31">
        <f>SUM(AH17:AK17)</f>
      </c>
      <c r="AM17" s="32">
        <f>AG17+AL17</f>
      </c>
    </row>
    <row r="18" spans="1:39" x14ac:dyDescent="0.25">
      <c r="A18" t="s">
        <v>84</v>
      </c>
      <c r="B18" s="7">
        <v>140000</v>
      </c>
      <c r="C18">
        <v>19</v>
      </c>
      <c r="D18" s="7">
        <f>B18/12</f>
      </c>
      <c r="E18" s="7">
        <f>IF(1&gt;=C18,D18,0)</f>
      </c>
      <c r="F18" s="7">
        <f>IF(2&gt;=C18,D18,0)</f>
      </c>
      <c r="G18" s="7">
        <f>IF(3&gt;=C18,D18,0)</f>
      </c>
      <c r="H18" s="7">
        <f>IF(4&gt;=C18,D18,0)</f>
      </c>
      <c r="I18" s="7">
        <f>IF(5&gt;=C18,D18,0)</f>
      </c>
      <c r="J18" s="7">
        <f>IF(6&gt;=C18,D18,0)</f>
      </c>
      <c r="K18" s="7">
        <f>IF(7&gt;=C18,D18,0)</f>
      </c>
      <c r="L18" s="7">
        <f>IF(8&gt;=C18,D18,0)</f>
      </c>
      <c r="M18" s="7">
        <f>IF(9&gt;=C18,D18,0)</f>
      </c>
      <c r="N18" s="7">
        <f>IF(10&gt;=C18,D18,0)</f>
      </c>
      <c r="O18" s="7">
        <f>IF(11&gt;=C18,D18,0)</f>
      </c>
      <c r="P18" s="7">
        <f>IF(12&gt;=C18,D18,0)</f>
      </c>
      <c r="Q18" s="7">
        <f>IF(13&gt;=C18,D18,0)</f>
      </c>
      <c r="R18" s="7">
        <f>IF(14&gt;=C18,D18,0)</f>
      </c>
      <c r="S18" s="7">
        <f>IF(15&gt;=C18,D18,0)</f>
      </c>
      <c r="T18" s="7">
        <f>IF(16&gt;=C18,D18,0)</f>
      </c>
      <c r="U18" s="7">
        <f>IF(17&gt;=C18,D18,0)</f>
      </c>
      <c r="V18" s="7">
        <f>IF(18&gt;=C18,D18,0)</f>
      </c>
      <c r="W18" s="7">
        <f>IF(19&gt;=C18,D18,0)</f>
      </c>
      <c r="X18" s="7">
        <f>IF(20&gt;=C18,D18,0)</f>
      </c>
      <c r="Y18" s="7">
        <f>IF(21&gt;=C18,D18,0)</f>
      </c>
      <c r="Z18" s="7">
        <f>IF(22&gt;=C18,D18,0)</f>
      </c>
      <c r="AA18" s="7">
        <f>IF(23&gt;=C18,D18,0)</f>
      </c>
      <c r="AB18" s="7">
        <f>IF(24&gt;=C18,D18,0)</f>
      </c>
      <c r="AC18" s="7">
        <f>SUM(E18:G18)</f>
      </c>
      <c r="AD18" s="7">
        <f>SUM(H18:J18)</f>
      </c>
      <c r="AE18" s="7">
        <f>SUM(K18:M18)</f>
      </c>
      <c r="AF18" s="7">
        <f>SUM(N18:P18)</f>
      </c>
      <c r="AG18" s="31">
        <f>SUM(AC18:AF18)</f>
      </c>
      <c r="AH18" s="7">
        <f>SUM(Q18:S18)</f>
      </c>
      <c r="AI18" s="7">
        <f>SUM(T18:V18)</f>
      </c>
      <c r="AJ18" s="7">
        <f>SUM(W18:Y18)</f>
      </c>
      <c r="AK18" s="7">
        <f>SUM(Z18:AB18)</f>
      </c>
      <c r="AL18" s="31">
        <f>SUM(AH18:AK18)</f>
      </c>
      <c r="AM18" s="32">
        <f>AG18+AL18</f>
      </c>
    </row>
    <row r="19" spans="1:39" x14ac:dyDescent="0.25">
      <c r="A19" t="s">
        <v>85</v>
      </c>
      <c r="B19" s="7">
        <v>170000</v>
      </c>
      <c r="C19">
        <v>20</v>
      </c>
      <c r="D19" s="7">
        <f>B19/12</f>
      </c>
      <c r="E19" s="7">
        <f>IF(1&gt;=C19,D19,0)</f>
      </c>
      <c r="F19" s="7">
        <f>IF(2&gt;=C19,D19,0)</f>
      </c>
      <c r="G19" s="7">
        <f>IF(3&gt;=C19,D19,0)</f>
      </c>
      <c r="H19" s="7">
        <f>IF(4&gt;=C19,D19,0)</f>
      </c>
      <c r="I19" s="7">
        <f>IF(5&gt;=C19,D19,0)</f>
      </c>
      <c r="J19" s="7">
        <f>IF(6&gt;=C19,D19,0)</f>
      </c>
      <c r="K19" s="7">
        <f>IF(7&gt;=C19,D19,0)</f>
      </c>
      <c r="L19" s="7">
        <f>IF(8&gt;=C19,D19,0)</f>
      </c>
      <c r="M19" s="7">
        <f>IF(9&gt;=C19,D19,0)</f>
      </c>
      <c r="N19" s="7">
        <f>IF(10&gt;=C19,D19,0)</f>
      </c>
      <c r="O19" s="7">
        <f>IF(11&gt;=C19,D19,0)</f>
      </c>
      <c r="P19" s="7">
        <f>IF(12&gt;=C19,D19,0)</f>
      </c>
      <c r="Q19" s="7">
        <f>IF(13&gt;=C19,D19,0)</f>
      </c>
      <c r="R19" s="7">
        <f>IF(14&gt;=C19,D19,0)</f>
      </c>
      <c r="S19" s="7">
        <f>IF(15&gt;=C19,D19,0)</f>
      </c>
      <c r="T19" s="7">
        <f>IF(16&gt;=C19,D19,0)</f>
      </c>
      <c r="U19" s="7">
        <f>IF(17&gt;=C19,D19,0)</f>
      </c>
      <c r="V19" s="7">
        <f>IF(18&gt;=C19,D19,0)</f>
      </c>
      <c r="W19" s="7">
        <f>IF(19&gt;=C19,D19,0)</f>
      </c>
      <c r="X19" s="7">
        <f>IF(20&gt;=C19,D19,0)</f>
      </c>
      <c r="Y19" s="7">
        <f>IF(21&gt;=C19,D19,0)</f>
      </c>
      <c r="Z19" s="7">
        <f>IF(22&gt;=C19,D19,0)</f>
      </c>
      <c r="AA19" s="7">
        <f>IF(23&gt;=C19,D19,0)</f>
      </c>
      <c r="AB19" s="7">
        <f>IF(24&gt;=C19,D19,0)</f>
      </c>
      <c r="AC19" s="7">
        <f>SUM(E19:G19)</f>
      </c>
      <c r="AD19" s="7">
        <f>SUM(H19:J19)</f>
      </c>
      <c r="AE19" s="7">
        <f>SUM(K19:M19)</f>
      </c>
      <c r="AF19" s="7">
        <f>SUM(N19:P19)</f>
      </c>
      <c r="AG19" s="31">
        <f>SUM(AC19:AF19)</f>
      </c>
      <c r="AH19" s="7">
        <f>SUM(Q19:S19)</f>
      </c>
      <c r="AI19" s="7">
        <f>SUM(T19:V19)</f>
      </c>
      <c r="AJ19" s="7">
        <f>SUM(W19:Y19)</f>
      </c>
      <c r="AK19" s="7">
        <f>SUM(Z19:AB19)</f>
      </c>
      <c r="AL19" s="31">
        <f>SUM(AH19:AK19)</f>
      </c>
      <c r="AM19" s="32">
        <f>AG19+AL19</f>
      </c>
    </row>
    <row r="20" spans="1:39" x14ac:dyDescent="0.25">
      <c r="A20" t="s">
        <v>86</v>
      </c>
      <c r="B20" s="7">
        <v>120000</v>
      </c>
      <c r="C20">
        <v>21</v>
      </c>
      <c r="D20" s="7">
        <f>B20/12</f>
      </c>
      <c r="E20" s="7">
        <f>IF(1&gt;=C20,D20,0)</f>
      </c>
      <c r="F20" s="7">
        <f>IF(2&gt;=C20,D20,0)</f>
      </c>
      <c r="G20" s="7">
        <f>IF(3&gt;=C20,D20,0)</f>
      </c>
      <c r="H20" s="7">
        <f>IF(4&gt;=C20,D20,0)</f>
      </c>
      <c r="I20" s="7">
        <f>IF(5&gt;=C20,D20,0)</f>
      </c>
      <c r="J20" s="7">
        <f>IF(6&gt;=C20,D20,0)</f>
      </c>
      <c r="K20" s="7">
        <f>IF(7&gt;=C20,D20,0)</f>
      </c>
      <c r="L20" s="7">
        <f>IF(8&gt;=C20,D20,0)</f>
      </c>
      <c r="M20" s="7">
        <f>IF(9&gt;=C20,D20,0)</f>
      </c>
      <c r="N20" s="7">
        <f>IF(10&gt;=C20,D20,0)</f>
      </c>
      <c r="O20" s="7">
        <f>IF(11&gt;=C20,D20,0)</f>
      </c>
      <c r="P20" s="7">
        <f>IF(12&gt;=C20,D20,0)</f>
      </c>
      <c r="Q20" s="7">
        <f>IF(13&gt;=C20,D20,0)</f>
      </c>
      <c r="R20" s="7">
        <f>IF(14&gt;=C20,D20,0)</f>
      </c>
      <c r="S20" s="7">
        <f>IF(15&gt;=C20,D20,0)</f>
      </c>
      <c r="T20" s="7">
        <f>IF(16&gt;=C20,D20,0)</f>
      </c>
      <c r="U20" s="7">
        <f>IF(17&gt;=C20,D20,0)</f>
      </c>
      <c r="V20" s="7">
        <f>IF(18&gt;=C20,D20,0)</f>
      </c>
      <c r="W20" s="7">
        <f>IF(19&gt;=C20,D20,0)</f>
      </c>
      <c r="X20" s="7">
        <f>IF(20&gt;=C20,D20,0)</f>
      </c>
      <c r="Y20" s="7">
        <f>IF(21&gt;=C20,D20,0)</f>
      </c>
      <c r="Z20" s="7">
        <f>IF(22&gt;=C20,D20,0)</f>
      </c>
      <c r="AA20" s="7">
        <f>IF(23&gt;=C20,D20,0)</f>
      </c>
      <c r="AB20" s="7">
        <f>IF(24&gt;=C20,D20,0)</f>
      </c>
      <c r="AC20" s="7">
        <f>SUM(E20:G20)</f>
      </c>
      <c r="AD20" s="7">
        <f>SUM(H20:J20)</f>
      </c>
      <c r="AE20" s="7">
        <f>SUM(K20:M20)</f>
      </c>
      <c r="AF20" s="7">
        <f>SUM(N20:P20)</f>
      </c>
      <c r="AG20" s="31">
        <f>SUM(AC20:AF20)</f>
      </c>
      <c r="AH20" s="7">
        <f>SUM(Q20:S20)</f>
      </c>
      <c r="AI20" s="7">
        <f>SUM(T20:V20)</f>
      </c>
      <c r="AJ20" s="7">
        <f>SUM(W20:Y20)</f>
      </c>
      <c r="AK20" s="7">
        <f>SUM(Z20:AB20)</f>
      </c>
      <c r="AL20" s="31">
        <f>SUM(AH20:AK20)</f>
      </c>
      <c r="AM20" s="32">
        <f>AG20+AL20</f>
      </c>
    </row>
    <row r="21" spans="1:39" x14ac:dyDescent="0.25">
      <c r="A21" t="s">
        <v>87</v>
      </c>
      <c r="B21" s="7">
        <v>100000</v>
      </c>
      <c r="C21">
        <v>22</v>
      </c>
      <c r="D21" s="7">
        <f>B21/12</f>
      </c>
      <c r="E21" s="7">
        <f>IF(1&gt;=C21,D21,0)</f>
      </c>
      <c r="F21" s="7">
        <f>IF(2&gt;=C21,D21,0)</f>
      </c>
      <c r="G21" s="7">
        <f>IF(3&gt;=C21,D21,0)</f>
      </c>
      <c r="H21" s="7">
        <f>IF(4&gt;=C21,D21,0)</f>
      </c>
      <c r="I21" s="7">
        <f>IF(5&gt;=C21,D21,0)</f>
      </c>
      <c r="J21" s="7">
        <f>IF(6&gt;=C21,D21,0)</f>
      </c>
      <c r="K21" s="7">
        <f>IF(7&gt;=C21,D21,0)</f>
      </c>
      <c r="L21" s="7">
        <f>IF(8&gt;=C21,D21,0)</f>
      </c>
      <c r="M21" s="7">
        <f>IF(9&gt;=C21,D21,0)</f>
      </c>
      <c r="N21" s="7">
        <f>IF(10&gt;=C21,D21,0)</f>
      </c>
      <c r="O21" s="7">
        <f>IF(11&gt;=C21,D21,0)</f>
      </c>
      <c r="P21" s="7">
        <f>IF(12&gt;=C21,D21,0)</f>
      </c>
      <c r="Q21" s="7">
        <f>IF(13&gt;=C21,D21,0)</f>
      </c>
      <c r="R21" s="7">
        <f>IF(14&gt;=C21,D21,0)</f>
      </c>
      <c r="S21" s="7">
        <f>IF(15&gt;=C21,D21,0)</f>
      </c>
      <c r="T21" s="7">
        <f>IF(16&gt;=C21,D21,0)</f>
      </c>
      <c r="U21" s="7">
        <f>IF(17&gt;=C21,D21,0)</f>
      </c>
      <c r="V21" s="7">
        <f>IF(18&gt;=C21,D21,0)</f>
      </c>
      <c r="W21" s="7">
        <f>IF(19&gt;=C21,D21,0)</f>
      </c>
      <c r="X21" s="7">
        <f>IF(20&gt;=C21,D21,0)</f>
      </c>
      <c r="Y21" s="7">
        <f>IF(21&gt;=C21,D21,0)</f>
      </c>
      <c r="Z21" s="7">
        <f>IF(22&gt;=C21,D21,0)</f>
      </c>
      <c r="AA21" s="7">
        <f>IF(23&gt;=C21,D21,0)</f>
      </c>
      <c r="AB21" s="7">
        <f>IF(24&gt;=C21,D21,0)</f>
      </c>
      <c r="AC21" s="7">
        <f>SUM(E21:G21)</f>
      </c>
      <c r="AD21" s="7">
        <f>SUM(H21:J21)</f>
      </c>
      <c r="AE21" s="7">
        <f>SUM(K21:M21)</f>
      </c>
      <c r="AF21" s="7">
        <f>SUM(N21:P21)</f>
      </c>
      <c r="AG21" s="31">
        <f>SUM(AC21:AF21)</f>
      </c>
      <c r="AH21" s="7">
        <f>SUM(Q21:S21)</f>
      </c>
      <c r="AI21" s="7">
        <f>SUM(T21:V21)</f>
      </c>
      <c r="AJ21" s="7">
        <f>SUM(W21:Y21)</f>
      </c>
      <c r="AK21" s="7">
        <f>SUM(Z21:AB21)</f>
      </c>
      <c r="AL21" s="31">
        <f>SUM(AH21:AK21)</f>
      </c>
      <c r="AM21" s="32">
        <f>AG21+AL21</f>
      </c>
    </row>
    <row r="22" spans="1:39" x14ac:dyDescent="0.25">
      <c r="A22" t="s">
        <v>88</v>
      </c>
      <c r="B22" s="7">
        <v>72000</v>
      </c>
      <c r="C22">
        <v>1</v>
      </c>
      <c r="D22" s="7">
        <f>B22/12</f>
      </c>
      <c r="E22" s="7">
        <f>IF(1&gt;=C22,D22,0)</f>
      </c>
      <c r="F22" s="7">
        <f>IF(2&gt;=C22,D22,0)</f>
      </c>
      <c r="G22" s="7">
        <f>IF(3&gt;=C22,D22,0)</f>
      </c>
      <c r="H22" s="7">
        <f>IF(4&gt;=C22,D22,0)</f>
      </c>
      <c r="I22" s="7">
        <f>IF(5&gt;=C22,D22,0)</f>
      </c>
      <c r="J22" s="7">
        <f>IF(6&gt;=C22,D22,0)</f>
      </c>
      <c r="K22" s="7">
        <f>IF(7&gt;=C22,D22,0)</f>
      </c>
      <c r="L22" s="7">
        <f>IF(8&gt;=C22,D22,0)</f>
      </c>
      <c r="M22" s="7">
        <f>IF(9&gt;=C22,D22,0)</f>
      </c>
      <c r="N22" s="7">
        <f>IF(10&gt;=C22,D22,0)</f>
      </c>
      <c r="O22" s="7">
        <f>IF(11&gt;=C22,D22,0)</f>
      </c>
      <c r="P22" s="7">
        <f>IF(12&gt;=C22,D22,0)</f>
      </c>
      <c r="Q22" s="7">
        <f>IF(13&gt;=C22,D22,0)</f>
      </c>
      <c r="R22" s="7">
        <f>IF(14&gt;=C22,D22,0)</f>
      </c>
      <c r="S22" s="7">
        <f>IF(15&gt;=C22,D22,0)</f>
      </c>
      <c r="T22" s="7">
        <f>IF(16&gt;=C22,D22,0)</f>
      </c>
      <c r="U22" s="7">
        <f>IF(17&gt;=C22,D22,0)</f>
      </c>
      <c r="V22" s="7">
        <f>IF(18&gt;=C22,D22,0)</f>
      </c>
      <c r="W22" s="7">
        <f>IF(19&gt;=C22,D22,0)</f>
      </c>
      <c r="X22" s="7">
        <f>IF(20&gt;=C22,D22,0)</f>
      </c>
      <c r="Y22" s="7">
        <f>IF(21&gt;=C22,D22,0)</f>
      </c>
      <c r="Z22" s="7">
        <f>IF(22&gt;=C22,D22,0)</f>
      </c>
      <c r="AA22" s="7">
        <f>IF(23&gt;=C22,D22,0)</f>
      </c>
      <c r="AB22" s="7">
        <f>IF(24&gt;=C22,D22,0)</f>
      </c>
      <c r="AC22" s="7">
        <f>SUM(E22:G22)</f>
      </c>
      <c r="AD22" s="7">
        <f>SUM(H22:J22)</f>
      </c>
      <c r="AE22" s="7">
        <f>SUM(K22:M22)</f>
      </c>
      <c r="AF22" s="7">
        <f>SUM(N22:P22)</f>
      </c>
      <c r="AG22" s="31">
        <f>SUM(AC22:AF22)</f>
      </c>
      <c r="AH22" s="7">
        <f>SUM(Q22:S22)</f>
      </c>
      <c r="AI22" s="7">
        <f>SUM(T22:V22)</f>
      </c>
      <c r="AJ22" s="7">
        <f>SUM(W22:Y22)</f>
      </c>
      <c r="AK22" s="7">
        <f>SUM(Z22:AB22)</f>
      </c>
      <c r="AL22" s="31">
        <f>SUM(AH22:AK22)</f>
      </c>
      <c r="AM22" s="32">
        <f>AG22+AL22</f>
      </c>
    </row>
    <row r="23" spans="1:39" x14ac:dyDescent="0.25">
      <c r="A23" t="s">
        <v>89</v>
      </c>
      <c r="B23" s="7">
        <v>60000</v>
      </c>
      <c r="C23">
        <v>1</v>
      </c>
      <c r="D23" s="7">
        <f>B23/12</f>
      </c>
      <c r="E23" s="7">
        <f>IF(1&gt;=C23,D23,0)</f>
      </c>
      <c r="F23" s="7">
        <f>IF(2&gt;=C23,D23,0)</f>
      </c>
      <c r="G23" s="7">
        <f>IF(3&gt;=C23,D23,0)</f>
      </c>
      <c r="H23" s="7">
        <f>IF(4&gt;=C23,D23,0)</f>
      </c>
      <c r="I23" s="7">
        <f>IF(5&gt;=C23,D23,0)</f>
      </c>
      <c r="J23" s="7">
        <f>IF(6&gt;=C23,D23,0)</f>
      </c>
      <c r="K23" s="7">
        <f>IF(7&gt;=C23,D23,0)</f>
      </c>
      <c r="L23" s="7">
        <f>IF(8&gt;=C23,D23,0)</f>
      </c>
      <c r="M23" s="7">
        <f>IF(9&gt;=C23,D23,0)</f>
      </c>
      <c r="N23" s="7">
        <f>IF(10&gt;=C23,D23,0)</f>
      </c>
      <c r="O23" s="7">
        <f>IF(11&gt;=C23,D23,0)</f>
      </c>
      <c r="P23" s="7">
        <f>IF(12&gt;=C23,D23,0)</f>
      </c>
      <c r="Q23" s="7">
        <f>IF(13&gt;=C23,D23,0)</f>
      </c>
      <c r="R23" s="7">
        <f>IF(14&gt;=C23,D23,0)</f>
      </c>
      <c r="S23" s="7">
        <f>IF(15&gt;=C23,D23,0)</f>
      </c>
      <c r="T23" s="7">
        <f>IF(16&gt;=C23,D23,0)</f>
      </c>
      <c r="U23" s="7">
        <f>IF(17&gt;=C23,D23,0)</f>
      </c>
      <c r="V23" s="7">
        <f>IF(18&gt;=C23,D23,0)</f>
      </c>
      <c r="W23" s="7">
        <f>IF(19&gt;=C23,D23,0)</f>
      </c>
      <c r="X23" s="7">
        <f>IF(20&gt;=C23,D23,0)</f>
      </c>
      <c r="Y23" s="7">
        <f>IF(21&gt;=C23,D23,0)</f>
      </c>
      <c r="Z23" s="7">
        <f>IF(22&gt;=C23,D23,0)</f>
      </c>
      <c r="AA23" s="7">
        <f>IF(23&gt;=C23,D23,0)</f>
      </c>
      <c r="AB23" s="7">
        <f>IF(24&gt;=C23,D23,0)</f>
      </c>
      <c r="AC23" s="7">
        <f>SUM(E23:G23)</f>
      </c>
      <c r="AD23" s="7">
        <f>SUM(H23:J23)</f>
      </c>
      <c r="AE23" s="7">
        <f>SUM(K23:M23)</f>
      </c>
      <c r="AF23" s="7">
        <f>SUM(N23:P23)</f>
      </c>
      <c r="AG23" s="31">
        <f>SUM(AC23:AF23)</f>
      </c>
      <c r="AH23" s="7">
        <f>SUM(Q23:S23)</f>
      </c>
      <c r="AI23" s="7">
        <f>SUM(T23:V23)</f>
      </c>
      <c r="AJ23" s="7">
        <f>SUM(W23:Y23)</f>
      </c>
      <c r="AK23" s="7">
        <f>SUM(Z23:AB23)</f>
      </c>
      <c r="AL23" s="31">
        <f>SUM(AH23:AK23)</f>
      </c>
      <c r="AM23" s="32">
        <f>AG23+AL23</f>
      </c>
    </row>
    <row r="24" spans="1:39" x14ac:dyDescent="0.25">
      <c r="A24" t="s">
        <v>90</v>
      </c>
      <c r="B24" s="7">
        <v>45000</v>
      </c>
      <c r="C24">
        <v>2</v>
      </c>
      <c r="D24" s="7">
        <f>B24/12</f>
      </c>
      <c r="E24" s="7">
        <f>IF(1&gt;=C24,D24,0)</f>
      </c>
      <c r="F24" s="7">
        <f>IF(2&gt;=C24,D24,0)</f>
      </c>
      <c r="G24" s="7">
        <f>IF(3&gt;=C24,D24,0)</f>
      </c>
      <c r="H24" s="7">
        <f>IF(4&gt;=C24,D24,0)</f>
      </c>
      <c r="I24" s="7">
        <f>IF(5&gt;=C24,D24,0)</f>
      </c>
      <c r="J24" s="7">
        <f>IF(6&gt;=C24,D24,0)</f>
      </c>
      <c r="K24" s="7">
        <f>IF(7&gt;=C24,D24,0)</f>
      </c>
      <c r="L24" s="7">
        <f>IF(8&gt;=C24,D24,0)</f>
      </c>
      <c r="M24" s="7">
        <f>IF(9&gt;=C24,D24,0)</f>
      </c>
      <c r="N24" s="7">
        <f>IF(10&gt;=C24,D24,0)</f>
      </c>
      <c r="O24" s="7">
        <f>IF(11&gt;=C24,D24,0)</f>
      </c>
      <c r="P24" s="7">
        <f>IF(12&gt;=C24,D24,0)</f>
      </c>
      <c r="Q24" s="7">
        <f>IF(13&gt;=C24,D24,0)</f>
      </c>
      <c r="R24" s="7">
        <f>IF(14&gt;=C24,D24,0)</f>
      </c>
      <c r="S24" s="7">
        <f>IF(15&gt;=C24,D24,0)</f>
      </c>
      <c r="T24" s="7">
        <f>IF(16&gt;=C24,D24,0)</f>
      </c>
      <c r="U24" s="7">
        <f>IF(17&gt;=C24,D24,0)</f>
      </c>
      <c r="V24" s="7">
        <f>IF(18&gt;=C24,D24,0)</f>
      </c>
      <c r="W24" s="7">
        <f>IF(19&gt;=C24,D24,0)</f>
      </c>
      <c r="X24" s="7">
        <f>IF(20&gt;=C24,D24,0)</f>
      </c>
      <c r="Y24" s="7">
        <f>IF(21&gt;=C24,D24,0)</f>
      </c>
      <c r="Z24" s="7">
        <f>IF(22&gt;=C24,D24,0)</f>
      </c>
      <c r="AA24" s="7">
        <f>IF(23&gt;=C24,D24,0)</f>
      </c>
      <c r="AB24" s="7">
        <f>IF(24&gt;=C24,D24,0)</f>
      </c>
      <c r="AC24" s="7">
        <f>SUM(E24:G24)</f>
      </c>
      <c r="AD24" s="7">
        <f>SUM(H24:J24)</f>
      </c>
      <c r="AE24" s="7">
        <f>SUM(K24:M24)</f>
      </c>
      <c r="AF24" s="7">
        <f>SUM(N24:P24)</f>
      </c>
      <c r="AG24" s="31">
        <f>SUM(AC24:AF24)</f>
      </c>
      <c r="AH24" s="7">
        <f>SUM(Q24:S24)</f>
      </c>
      <c r="AI24" s="7">
        <f>SUM(T24:V24)</f>
      </c>
      <c r="AJ24" s="7">
        <f>SUM(W24:Y24)</f>
      </c>
      <c r="AK24" s="7">
        <f>SUM(Z24:AB24)</f>
      </c>
      <c r="AL24" s="31">
        <f>SUM(AH24:AK24)</f>
      </c>
      <c r="AM24" s="32">
        <f>AG24+AL24</f>
      </c>
    </row>
    <row r="25" spans="1:39" x14ac:dyDescent="0.25">
      <c r="A25" t="s">
        <v>91</v>
      </c>
      <c r="B25" s="7">
        <v>30000</v>
      </c>
      <c r="C25">
        <v>3</v>
      </c>
      <c r="D25" s="7">
        <f>B25/12</f>
      </c>
      <c r="E25" s="7">
        <f>IF(1&gt;=C25,D25,0)</f>
      </c>
      <c r="F25" s="7">
        <f>IF(2&gt;=C25,D25,0)</f>
      </c>
      <c r="G25" s="7">
        <f>IF(3&gt;=C25,D25,0)</f>
      </c>
      <c r="H25" s="7">
        <f>IF(4&gt;=C25,D25,0)</f>
      </c>
      <c r="I25" s="7">
        <f>IF(5&gt;=C25,D25,0)</f>
      </c>
      <c r="J25" s="7">
        <f>IF(6&gt;=C25,D25,0)</f>
      </c>
      <c r="K25" s="7">
        <f>IF(7&gt;=C25,D25,0)</f>
      </c>
      <c r="L25" s="7">
        <f>IF(8&gt;=C25,D25,0)</f>
      </c>
      <c r="M25" s="7">
        <f>IF(9&gt;=C25,D25,0)</f>
      </c>
      <c r="N25" s="7">
        <f>IF(10&gt;=C25,D25,0)</f>
      </c>
      <c r="O25" s="7">
        <f>IF(11&gt;=C25,D25,0)</f>
      </c>
      <c r="P25" s="7">
        <f>IF(12&gt;=C25,D25,0)</f>
      </c>
      <c r="Q25" s="7">
        <f>IF(13&gt;=C25,D25,0)</f>
      </c>
      <c r="R25" s="7">
        <f>IF(14&gt;=C25,D25,0)</f>
      </c>
      <c r="S25" s="7">
        <f>IF(15&gt;=C25,D25,0)</f>
      </c>
      <c r="T25" s="7">
        <f>IF(16&gt;=C25,D25,0)</f>
      </c>
      <c r="U25" s="7">
        <f>IF(17&gt;=C25,D25,0)</f>
      </c>
      <c r="V25" s="7">
        <f>IF(18&gt;=C25,D25,0)</f>
      </c>
      <c r="W25" s="7">
        <f>IF(19&gt;=C25,D25,0)</f>
      </c>
      <c r="X25" s="7">
        <f>IF(20&gt;=C25,D25,0)</f>
      </c>
      <c r="Y25" s="7">
        <f>IF(21&gt;=C25,D25,0)</f>
      </c>
      <c r="Z25" s="7">
        <f>IF(22&gt;=C25,D25,0)</f>
      </c>
      <c r="AA25" s="7">
        <f>IF(23&gt;=C25,D25,0)</f>
      </c>
      <c r="AB25" s="7">
        <f>IF(24&gt;=C25,D25,0)</f>
      </c>
      <c r="AC25" s="7">
        <f>SUM(E25:G25)</f>
      </c>
      <c r="AD25" s="7">
        <f>SUM(H25:J25)</f>
      </c>
      <c r="AE25" s="7">
        <f>SUM(K25:M25)</f>
      </c>
      <c r="AF25" s="7">
        <f>SUM(N25:P25)</f>
      </c>
      <c r="AG25" s="31">
        <f>SUM(AC25:AF25)</f>
      </c>
      <c r="AH25" s="7">
        <f>SUM(Q25:S25)</f>
      </c>
      <c r="AI25" s="7">
        <f>SUM(T25:V25)</f>
      </c>
      <c r="AJ25" s="7">
        <f>SUM(W25:Y25)</f>
      </c>
      <c r="AK25" s="7">
        <f>SUM(Z25:AB25)</f>
      </c>
      <c r="AL25" s="31">
        <f>SUM(AH25:AK25)</f>
      </c>
      <c r="AM25" s="32">
        <f>AG25+AL25</f>
      </c>
    </row>
    <row r="26" spans="1:39" x14ac:dyDescent="0.25">
      <c r="A26" s="6" t="s">
        <v>48</v>
      </c>
      <c r="B26" t="s">
        <v>92</v>
      </c>
      <c r="C26" t="s">
        <v>92</v>
      </c>
      <c r="D26" s="33">
        <f>SUM(D2:D25)</f>
      </c>
      <c r="E26" s="15">
        <f>SUM(E2:E25)</f>
      </c>
      <c r="F26" s="15">
        <f>SUM(F2:F25)</f>
      </c>
      <c r="G26" s="15">
        <f>SUM(G2:G25)</f>
      </c>
      <c r="H26" s="15">
        <f>SUM(H2:H25)</f>
      </c>
      <c r="I26" s="15">
        <f>SUM(I2:I25)</f>
      </c>
      <c r="J26" s="15">
        <f>SUM(J2:J25)</f>
      </c>
      <c r="K26" s="15">
        <f>SUM(K2:K25)</f>
      </c>
      <c r="L26" s="15">
        <f>SUM(L2:L25)</f>
      </c>
      <c r="M26" s="15">
        <f>SUM(M2:M25)</f>
      </c>
      <c r="N26" s="15">
        <f>SUM(N2:N25)</f>
      </c>
      <c r="O26" s="15">
        <f>SUM(O2:O25)</f>
      </c>
      <c r="P26" s="15">
        <f>SUM(P2:P25)</f>
      </c>
      <c r="Q26" s="15">
        <f>SUM(Q2:Q25)</f>
      </c>
      <c r="R26" s="15">
        <f>SUM(R2:R25)</f>
      </c>
      <c r="S26" s="15">
        <f>SUM(S2:S25)</f>
      </c>
      <c r="T26" s="15">
        <f>SUM(T2:T25)</f>
      </c>
      <c r="U26" s="15">
        <f>SUM(U2:U25)</f>
      </c>
      <c r="V26" s="15">
        <f>SUM(V2:V25)</f>
      </c>
      <c r="W26" s="15">
        <f>SUM(W2:W25)</f>
      </c>
      <c r="X26" s="15">
        <f>SUM(X2:X25)</f>
      </c>
      <c r="Y26" s="15">
        <f>SUM(Y2:Y25)</f>
      </c>
      <c r="Z26" s="15">
        <f>SUM(Z2:Z25)</f>
      </c>
      <c r="AA26" s="15">
        <f>SUM(AA2:AA25)</f>
      </c>
      <c r="AB26" s="15">
        <f>SUM(AB2:AB25)</f>
      </c>
      <c r="AC26" s="15">
        <f>SUM(AC2:AC25)</f>
      </c>
      <c r="AD26" s="15">
        <f>SUM(AD2:AD25)</f>
      </c>
      <c r="AE26" s="15">
        <f>SUM(AE2:AE25)</f>
      </c>
      <c r="AF26" s="15">
        <f>SUM(AF2:AF25)</f>
      </c>
      <c r="AG26" s="15">
        <f>SUM(AG2:AG25)</f>
      </c>
      <c r="AH26" s="15">
        <f>SUM(AH2:AH25)</f>
      </c>
      <c r="AI26" s="15">
        <f>SUM(AI2:AI25)</f>
      </c>
      <c r="AJ26" s="15">
        <f>SUM(AJ2:AJ25)</f>
      </c>
      <c r="AK26" s="15">
        <f>SUM(AK2:AK25)</f>
      </c>
      <c r="AL26" s="15">
        <f>SUM(AL2:AL25)</f>
      </c>
      <c r="AM26" s="15">
        <f>SUM(AM2:AM25)</f>
      </c>
    </row>
    <row r="27" spans="1:39" x14ac:dyDescent="0.25">
      <c r="A27" s="6" t="s">
        <v>93</v>
      </c>
      <c r="B27" s="34" t="s">
        <v>94</v>
      </c>
      <c r="C27" s="35" t="s">
        <v>95</v>
      </c>
      <c r="D27" s="7">
        <f>D26*B27</f>
      </c>
      <c r="E27" s="7">
        <f>E26*0.35</f>
      </c>
      <c r="F27" s="7">
        <f>F26*0.35</f>
      </c>
      <c r="G27" s="7">
        <f>G26*0.35</f>
      </c>
      <c r="H27" s="7">
        <f>H26*0.35</f>
      </c>
      <c r="I27" s="7">
        <f>I26*0.35</f>
      </c>
      <c r="J27" s="7">
        <f>J26*0.35</f>
      </c>
      <c r="K27" s="7">
        <f>K26*0.35</f>
      </c>
      <c r="L27" s="7">
        <f>L26*0.35</f>
      </c>
      <c r="M27" s="7">
        <f>M26*0.35</f>
      </c>
      <c r="N27" s="7">
        <f>N26*0.35</f>
      </c>
      <c r="O27" s="7">
        <f>O26*0.35</f>
      </c>
      <c r="P27" s="7">
        <f>P26*0.35</f>
      </c>
      <c r="Q27" s="7">
        <f>Q26*0.35</f>
      </c>
      <c r="R27" s="7">
        <f>R26*0.35</f>
      </c>
      <c r="S27" s="7">
        <f>S26*0.35</f>
      </c>
      <c r="T27" s="7">
        <f>T26*0.35</f>
      </c>
      <c r="U27" s="7">
        <f>U26*0.35</f>
      </c>
      <c r="V27" s="7">
        <f>V26*0.35</f>
      </c>
      <c r="W27" s="7">
        <f>W26*0.35</f>
      </c>
      <c r="X27" s="7">
        <f>X26*0.35</f>
      </c>
      <c r="Y27" s="7">
        <f>Y26*0.35</f>
      </c>
      <c r="Z27" s="7">
        <f>Z26*0.35</f>
      </c>
      <c r="AA27" s="7">
        <f>AA26*0.35</f>
      </c>
      <c r="AB27" s="7">
        <f>AB26*0.35</f>
      </c>
      <c r="AC27" s="7">
        <f>AC26*0.35</f>
      </c>
      <c r="AD27" s="7">
        <f>AD26*0.35</f>
      </c>
      <c r="AE27" s="7">
        <f>AE26*0.35</f>
      </c>
      <c r="AF27" s="7">
        <f>AF26*0.35</f>
      </c>
      <c r="AG27" s="7">
        <f>AG26*0.35</f>
      </c>
      <c r="AH27" s="7">
        <f>AH26*0.35</f>
      </c>
      <c r="AI27" s="7">
        <f>AI26*0.35</f>
      </c>
      <c r="AJ27" s="7">
        <f>AJ26*0.35</f>
      </c>
      <c r="AK27" s="7">
        <f>AK26*0.35</f>
      </c>
      <c r="AL27" s="7">
        <f>AL26*0.35</f>
      </c>
      <c r="AM27" s="7">
        <f>AM26*0.35</f>
      </c>
    </row>
    <row r="28" spans="1:39" x14ac:dyDescent="0.25">
      <c r="A28" s="6" t="s">
        <v>50</v>
      </c>
      <c r="B28" s="36">
        <v>5000</v>
      </c>
      <c r="C28" s="35" t="s">
        <v>96</v>
      </c>
      <c r="E28" s="7">
        <f>B28*SUMPRODUCT((C2:C25=1)*1)</f>
      </c>
      <c r="F28" s="7">
        <f>B28*SUMPRODUCT((C2:C25=2)*1)</f>
      </c>
      <c r="G28" s="7">
        <f>B28*SUMPRODUCT((C2:C25=3)*1)</f>
      </c>
      <c r="H28" s="7">
        <f>B28*SUMPRODUCT((C2:C25=4)*1)</f>
      </c>
      <c r="I28" s="7">
        <f>B28*SUMPRODUCT((C2:C25=5)*1)</f>
      </c>
      <c r="J28" s="7">
        <f>B28*SUMPRODUCT((C2:C25=6)*1)</f>
      </c>
      <c r="K28" s="7">
        <f>B28*SUMPRODUCT((C2:C25=7)*1)</f>
      </c>
      <c r="L28" s="7">
        <f>B28*SUMPRODUCT((C2:C25=8)*1)</f>
      </c>
      <c r="M28" s="7">
        <f>B28*SUMPRODUCT((C2:C25=9)*1)</f>
      </c>
      <c r="N28" s="7">
        <f>B28*SUMPRODUCT((C2:C25=10)*1)</f>
      </c>
      <c r="O28" s="7">
        <f>B28*SUMPRODUCT((C2:C25=11)*1)</f>
      </c>
      <c r="P28" s="7">
        <f>B28*SUMPRODUCT((C2:C25=12)*1)</f>
      </c>
      <c r="Q28" s="7">
        <f>B28*SUMPRODUCT((C2:C25=13)*1)</f>
      </c>
      <c r="R28" s="7">
        <f>B28*SUMPRODUCT((C2:C25=14)*1)</f>
      </c>
      <c r="S28" s="7">
        <f>B28*SUMPRODUCT((C2:C25=15)*1)</f>
      </c>
      <c r="T28" s="7">
        <f>B28*SUMPRODUCT((C2:C25=16)*1)</f>
      </c>
      <c r="U28" s="7">
        <f>B28*SUMPRODUCT((C2:C25=17)*1)</f>
      </c>
      <c r="V28" s="7">
        <f>B28*SUMPRODUCT((C2:C25=18)*1)</f>
      </c>
      <c r="W28" s="7">
        <f>B28*SUMPRODUCT((C2:C25=19)*1)</f>
      </c>
      <c r="X28" s="7">
        <f>B28*SUMPRODUCT((C2:C25=20)*1)</f>
      </c>
      <c r="Y28" s="7">
        <f>B28*SUMPRODUCT((C2:C25=21)*1)</f>
      </c>
      <c r="Z28" s="7">
        <f>B28*SUMPRODUCT((C2:C25=22)*1)</f>
      </c>
      <c r="AA28" s="7">
        <f>B28*SUMPRODUCT((C2:C25=23)*1)</f>
      </c>
      <c r="AB28" s="7">
        <f>B28*SUMPRODUCT((C2:C25=24)*1)</f>
      </c>
      <c r="AC28" s="7">
        <f>SUM(E28:G28)</f>
      </c>
      <c r="AD28" s="7">
        <f>SUM(H28:J28)</f>
      </c>
      <c r="AE28" s="7">
        <f>SUM(K28:M28)</f>
      </c>
      <c r="AF28" s="7">
        <f>SUM(N28:P28)</f>
      </c>
      <c r="AG28" s="31">
        <f>SUM(AC28:AF28)</f>
      </c>
      <c r="AH28" s="7">
        <f>SUM(Q28:S28)</f>
      </c>
      <c r="AI28" s="7">
        <f>SUM(T28:V28)</f>
      </c>
      <c r="AJ28" s="7">
        <f>SUM(W28:Y28)</f>
      </c>
      <c r="AK28" s="7">
        <f>SUM(Z28:AB28)</f>
      </c>
      <c r="AL28" s="31">
        <f>SUM(AH28:AK28)</f>
      </c>
      <c r="AM28" s="32">
        <f>AG28+AL28</f>
      </c>
    </row>
    <row r="29" spans="1:39" x14ac:dyDescent="0.25">
      <c r="A29" s="8" t="s">
        <v>51</v>
      </c>
      <c r="D29" s="17">
        <f>D26+D27+D28</f>
      </c>
      <c r="E29" s="17">
        <f>E26+E27+E28</f>
      </c>
      <c r="F29" s="17">
        <f>F26+F27+F28</f>
      </c>
      <c r="G29" s="17">
        <f>G26+G27+G28</f>
      </c>
      <c r="H29" s="17">
        <f>H26+H27+H28</f>
      </c>
      <c r="I29" s="17">
        <f>I26+I27+I28</f>
      </c>
      <c r="J29" s="17">
        <f>J26+J27+J28</f>
      </c>
      <c r="K29" s="17">
        <f>K26+K27+K28</f>
      </c>
      <c r="L29" s="17">
        <f>L26+L27+L28</f>
      </c>
      <c r="M29" s="17">
        <f>M26+M27+M28</f>
      </c>
      <c r="N29" s="17">
        <f>N26+N27+N28</f>
      </c>
      <c r="O29" s="17">
        <f>O26+O27+O28</f>
      </c>
      <c r="P29" s="17">
        <f>P26+P27+P28</f>
      </c>
      <c r="Q29" s="17">
        <f>Q26+Q27+Q28</f>
      </c>
      <c r="R29" s="17">
        <f>R26+R27+R28</f>
      </c>
      <c r="S29" s="17">
        <f>S26+S27+S28</f>
      </c>
      <c r="T29" s="17">
        <f>T26+T27+T28</f>
      </c>
      <c r="U29" s="17">
        <f>U26+U27+U28</f>
      </c>
      <c r="V29" s="17">
        <f>V26+V27+V28</f>
      </c>
      <c r="W29" s="17">
        <f>W26+W27+W28</f>
      </c>
      <c r="X29" s="17">
        <f>X26+X27+X28</f>
      </c>
      <c r="Y29" s="17">
        <f>Y26+Y27+Y28</f>
      </c>
      <c r="Z29" s="17">
        <f>Z26+Z27+Z28</f>
      </c>
      <c r="AA29" s="17">
        <f>AA26+AA27+AA28</f>
      </c>
      <c r="AB29" s="17">
        <f>AB26+AB27+AB28</f>
      </c>
      <c r="AC29" s="17">
        <f>AC26+AC27+AC28</f>
      </c>
      <c r="AD29" s="17">
        <f>AD26+AD27+AD28</f>
      </c>
      <c r="AE29" s="17">
        <f>AE26+AE27+AE28</f>
      </c>
      <c r="AF29" s="17">
        <f>AF26+AF27+AF28</f>
      </c>
      <c r="AG29" s="17">
        <f>AG26+AG27+AG28</f>
      </c>
      <c r="AH29" s="17">
        <f>AH26+AH27+AH28</f>
      </c>
      <c r="AI29" s="17">
        <f>AI26+AI27+AI28</f>
      </c>
      <c r="AJ29" s="17">
        <f>AJ26+AJ27+AJ28</f>
      </c>
      <c r="AK29" s="17">
        <f>AK26+AK27+AK28</f>
      </c>
      <c r="AL29" s="17">
        <f>AL26+AL27+AL28</f>
      </c>
      <c r="AM29" s="17">
        <f>AM26+AM27+AM28</f>
      </c>
    </row>
    <row r="30" spans="1:39" x14ac:dyDescent="0.25">
      <c r="A30" s="10" t="s">
        <v>52</v>
      </c>
      <c r="E30" s="11">
        <f>E29</f>
      </c>
      <c r="F30" s="11">
        <f>E30+F29</f>
      </c>
      <c r="G30" s="11">
        <f>F30+G29</f>
      </c>
      <c r="H30" s="11">
        <f>G30+H29</f>
      </c>
      <c r="I30" s="11">
        <f>H30+I29</f>
      </c>
      <c r="J30" s="11">
        <f>I30+J29</f>
      </c>
      <c r="K30" s="11">
        <f>J30+K29</f>
      </c>
      <c r="L30" s="11">
        <f>K30+L29</f>
      </c>
      <c r="M30" s="11">
        <f>L30+M29</f>
      </c>
      <c r="N30" s="11">
        <f>M30+N29</f>
      </c>
      <c r="O30" s="11">
        <f>N30+O29</f>
      </c>
      <c r="P30" s="11">
        <f>O30+P29</f>
      </c>
      <c r="Q30" s="11">
        <f>P30+Q29</f>
      </c>
      <c r="R30" s="11">
        <f>Q30+R29</f>
      </c>
      <c r="S30" s="11">
        <f>R30+S29</f>
      </c>
      <c r="T30" s="11">
        <f>S30+T29</f>
      </c>
      <c r="U30" s="11">
        <f>T30+U29</f>
      </c>
      <c r="V30" s="11">
        <f>U30+V29</f>
      </c>
      <c r="W30" s="11">
        <f>V30+W29</f>
      </c>
      <c r="X30" s="11">
        <f>W30+X29</f>
      </c>
      <c r="Y30" s="11">
        <f>X30+Y29</f>
      </c>
      <c r="Z30" s="11">
        <f>Y30+Z29</f>
      </c>
      <c r="AA30" s="11">
        <f>Z30+AA29</f>
      </c>
      <c r="AB30" s="11">
        <f>AA30+AB29</f>
      </c>
      <c r="AC30" s="11">
        <f>G30</f>
      </c>
      <c r="AD30" s="11">
        <f>J30</f>
      </c>
      <c r="AE30" s="11">
        <f>M30</f>
      </c>
      <c r="AF30" s="11">
        <f>P30</f>
      </c>
      <c r="AG30" s="12">
        <f>AF30</f>
      </c>
      <c r="AH30" s="11">
        <f>S30</f>
      </c>
      <c r="AI30" s="11">
        <f>V30</f>
      </c>
      <c r="AJ30" s="11">
        <f>Y30</f>
      </c>
      <c r="AK30" s="11">
        <f>AB30</f>
      </c>
      <c r="AL30" s="12">
        <f>AK30</f>
      </c>
      <c r="AM30" s="12">
        <f>AB30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15"/>
  <sheetFormatPr defaultRowHeight="15" outlineLevelRow="0" outlineLevelCol="0" x14ac:dyDescent="55"/>
  <cols>
    <col min="1" max="1" width="35" customWidth="1"/>
    <col min="2" max="2" width="14" customWidth="1"/>
    <col min="3" max="3" width="12" customWidth="1"/>
    <col min="4" max="4" width="45" customWidth="1"/>
    <col min="5" max="16" width="11" customWidth="1"/>
    <col min="17" max="28" width="11" outlineLevel="1" collapsed="1" customWidth="1"/>
    <col min="29" max="39" width="11" customWidth="1"/>
  </cols>
  <sheetData>
    <row r="1" spans="1:1" x14ac:dyDescent="0.25">
      <c r="A1" s="13" t="s">
        <v>39</v>
      </c>
    </row>
    <row r="3" spans="1:39" x14ac:dyDescent="0.25">
      <c r="A3" s="5" t="s">
        <v>97</v>
      </c>
      <c r="B3" s="5" t="s">
        <v>98</v>
      </c>
      <c r="C3" s="5" t="s">
        <v>99</v>
      </c>
      <c r="D3" s="5" t="s">
        <v>100</v>
      </c>
      <c r="E3" s="30" t="s">
        <v>3</v>
      </c>
      <c r="F3" s="30" t="s">
        <v>4</v>
      </c>
      <c r="G3" s="30" t="s">
        <v>5</v>
      </c>
      <c r="H3" s="30" t="s">
        <v>6</v>
      </c>
      <c r="I3" s="30" t="s">
        <v>7</v>
      </c>
      <c r="J3" s="30" t="s">
        <v>8</v>
      </c>
      <c r="K3" s="30" t="s">
        <v>9</v>
      </c>
      <c r="L3" s="30" t="s">
        <v>10</v>
      </c>
      <c r="M3" s="30" t="s">
        <v>11</v>
      </c>
      <c r="N3" s="30" t="s">
        <v>12</v>
      </c>
      <c r="O3" s="30" t="s">
        <v>13</v>
      </c>
      <c r="P3" s="30" t="s">
        <v>14</v>
      </c>
      <c r="Q3" s="30" t="s">
        <v>15</v>
      </c>
      <c r="R3" s="30" t="s">
        <v>16</v>
      </c>
      <c r="S3" s="30" t="s">
        <v>17</v>
      </c>
      <c r="T3" s="30" t="s">
        <v>18</v>
      </c>
      <c r="U3" s="30" t="s">
        <v>19</v>
      </c>
      <c r="V3" s="30" t="s">
        <v>20</v>
      </c>
      <c r="W3" s="30" t="s">
        <v>21</v>
      </c>
      <c r="X3" s="30" t="s">
        <v>22</v>
      </c>
      <c r="Y3" s="30" t="s">
        <v>23</v>
      </c>
      <c r="Z3" s="30" t="s">
        <v>24</v>
      </c>
      <c r="AA3" s="30" t="s">
        <v>25</v>
      </c>
      <c r="AB3" s="30" t="s">
        <v>26</v>
      </c>
      <c r="AC3" s="5" t="s">
        <v>27</v>
      </c>
      <c r="AD3" s="5" t="s">
        <v>28</v>
      </c>
      <c r="AE3" s="5" t="s">
        <v>29</v>
      </c>
      <c r="AF3" s="5" t="s">
        <v>30</v>
      </c>
      <c r="AG3" s="5" t="s">
        <v>31</v>
      </c>
      <c r="AH3" s="5" t="s">
        <v>32</v>
      </c>
      <c r="AI3" s="5" t="s">
        <v>33</v>
      </c>
      <c r="AJ3" s="5" t="s">
        <v>34</v>
      </c>
      <c r="AK3" s="5" t="s">
        <v>35</v>
      </c>
      <c r="AL3" s="5" t="s">
        <v>36</v>
      </c>
      <c r="AM3" s="5" t="s">
        <v>37</v>
      </c>
    </row>
    <row r="4" spans="1:39" x14ac:dyDescent="0.25">
      <c r="A4" t="s">
        <v>101</v>
      </c>
      <c r="B4" s="37">
        <v>5000</v>
      </c>
      <c r="C4" s="38">
        <v>0.1</v>
      </c>
      <c r="D4" s="39" t="s">
        <v>102</v>
      </c>
      <c r="E4" s="7">
        <f>B4*POWER(1+C4,0)</f>
      </c>
      <c r="F4" s="7">
        <f>B4*POWER(1+C4,1)</f>
      </c>
      <c r="G4" s="7">
        <f>B4*POWER(1+C4,2)</f>
      </c>
      <c r="H4" s="7">
        <f>B4*POWER(1+C4,3)</f>
      </c>
      <c r="I4" s="7">
        <f>B4*POWER(1+C4,4)</f>
      </c>
      <c r="J4" s="7">
        <f>B4*POWER(1+C4,5)</f>
      </c>
      <c r="K4" s="7">
        <f>B4*POWER(1+C4,6)</f>
      </c>
      <c r="L4" s="7">
        <f>B4*POWER(1+C4,7)</f>
      </c>
      <c r="M4" s="7">
        <f>B4*POWER(1+C4,8)</f>
      </c>
      <c r="N4" s="7">
        <f>B4*POWER(1+C4,9)</f>
      </c>
      <c r="O4" s="7">
        <f>B4*POWER(1+C4,10)</f>
      </c>
      <c r="P4" s="7">
        <f>B4*POWER(1+C4,11)</f>
      </c>
      <c r="Q4" s="7">
        <f>B4*POWER(1+C4,12)</f>
      </c>
      <c r="R4" s="7">
        <f>B4*POWER(1+C4,13)</f>
      </c>
      <c r="S4" s="7">
        <f>B4*POWER(1+C4,14)</f>
      </c>
      <c r="T4" s="7">
        <f>B4*POWER(1+C4,15)</f>
      </c>
      <c r="U4" s="7">
        <f>B4*POWER(1+C4,16)</f>
      </c>
      <c r="V4" s="7">
        <f>B4*POWER(1+C4,17)</f>
      </c>
      <c r="W4" s="7">
        <f>B4*POWER(1+C4,18)</f>
      </c>
      <c r="X4" s="7">
        <f>B4*POWER(1+C4,19)</f>
      </c>
      <c r="Y4" s="7">
        <f>B4*POWER(1+C4,20)</f>
      </c>
      <c r="Z4" s="7">
        <f>B4*POWER(1+C4,21)</f>
      </c>
      <c r="AA4" s="7">
        <f>B4*POWER(1+C4,22)</f>
      </c>
      <c r="AB4" s="7">
        <f>B4*POWER(1+C4,23)</f>
      </c>
      <c r="AC4" s="7">
        <f>SUM(E4:G4)</f>
      </c>
      <c r="AD4" s="7">
        <f>SUM(H4:J4)</f>
      </c>
      <c r="AE4" s="7">
        <f>SUM(K4:M4)</f>
      </c>
      <c r="AF4" s="7">
        <f>SUM(N4:P4)</f>
      </c>
      <c r="AG4" s="31">
        <f>SUM(AC4:AF4)</f>
      </c>
      <c r="AH4" s="7">
        <f>SUM(Q4:S4)</f>
      </c>
      <c r="AI4" s="7">
        <f>SUM(T4:V4)</f>
      </c>
      <c r="AJ4" s="7">
        <f>SUM(W4:Y4)</f>
      </c>
      <c r="AK4" s="7">
        <f>SUM(Z4:AB4)</f>
      </c>
      <c r="AL4" s="31">
        <f>SUM(AH4:AK4)</f>
      </c>
      <c r="AM4" s="32">
        <f>AG4+AL4</f>
      </c>
    </row>
    <row r="5" spans="1:39" x14ac:dyDescent="0.25">
      <c r="A5" t="s">
        <v>103</v>
      </c>
      <c r="B5" s="37">
        <v>3000</v>
      </c>
      <c r="C5" s="38">
        <v>0.05</v>
      </c>
      <c r="D5" s="39" t="s">
        <v>104</v>
      </c>
      <c r="E5" s="7">
        <f>B5*POWER(1+C5,0)</f>
      </c>
      <c r="F5" s="7">
        <f>B5*POWER(1+C5,1)</f>
      </c>
      <c r="G5" s="7">
        <f>B5*POWER(1+C5,2)</f>
      </c>
      <c r="H5" s="7">
        <f>B5*POWER(1+C5,3)</f>
      </c>
      <c r="I5" s="7">
        <f>B5*POWER(1+C5,4)</f>
      </c>
      <c r="J5" s="7">
        <f>B5*POWER(1+C5,5)</f>
      </c>
      <c r="K5" s="7">
        <f>B5*POWER(1+C5,6)</f>
      </c>
      <c r="L5" s="7">
        <f>B5*POWER(1+C5,7)</f>
      </c>
      <c r="M5" s="7">
        <f>B5*POWER(1+C5,8)</f>
      </c>
      <c r="N5" s="7">
        <f>B5*POWER(1+C5,9)</f>
      </c>
      <c r="O5" s="7">
        <f>B5*POWER(1+C5,10)</f>
      </c>
      <c r="P5" s="7">
        <f>B5*POWER(1+C5,11)</f>
      </c>
      <c r="Q5" s="7">
        <f>B5*POWER(1+C5,12)</f>
      </c>
      <c r="R5" s="7">
        <f>B5*POWER(1+C5,13)</f>
      </c>
      <c r="S5" s="7">
        <f>B5*POWER(1+C5,14)</f>
      </c>
      <c r="T5" s="7">
        <f>B5*POWER(1+C5,15)</f>
      </c>
      <c r="U5" s="7">
        <f>B5*POWER(1+C5,16)</f>
      </c>
      <c r="V5" s="7">
        <f>B5*POWER(1+C5,17)</f>
      </c>
      <c r="W5" s="7">
        <f>B5*POWER(1+C5,18)</f>
      </c>
      <c r="X5" s="7">
        <f>B5*POWER(1+C5,19)</f>
      </c>
      <c r="Y5" s="7">
        <f>B5*POWER(1+C5,20)</f>
      </c>
      <c r="Z5" s="7">
        <f>B5*POWER(1+C5,21)</f>
      </c>
      <c r="AA5" s="7">
        <f>B5*POWER(1+C5,22)</f>
      </c>
      <c r="AB5" s="7">
        <f>B5*POWER(1+C5,23)</f>
      </c>
      <c r="AC5" s="7">
        <f>SUM(E5:G5)</f>
      </c>
      <c r="AD5" s="7">
        <f>SUM(H5:J5)</f>
      </c>
      <c r="AE5" s="7">
        <f>SUM(K5:M5)</f>
      </c>
      <c r="AF5" s="7">
        <f>SUM(N5:P5)</f>
      </c>
      <c r="AG5" s="31">
        <f>SUM(AC5:AF5)</f>
      </c>
      <c r="AH5" s="7">
        <f>SUM(Q5:S5)</f>
      </c>
      <c r="AI5" s="7">
        <f>SUM(T5:V5)</f>
      </c>
      <c r="AJ5" s="7">
        <f>SUM(W5:Y5)</f>
      </c>
      <c r="AK5" s="7">
        <f>SUM(Z5:AB5)</f>
      </c>
      <c r="AL5" s="31">
        <f>SUM(AH5:AK5)</f>
      </c>
      <c r="AM5" s="32">
        <f>AG5+AL5</f>
      </c>
    </row>
    <row r="6" spans="1:39" x14ac:dyDescent="0.25">
      <c r="A6" t="s">
        <v>105</v>
      </c>
      <c r="B6" s="37">
        <v>2500</v>
      </c>
      <c r="C6" s="38">
        <v>0.03</v>
      </c>
      <c r="D6" s="39" t="s">
        <v>106</v>
      </c>
      <c r="E6" s="7">
        <f>B6*POWER(1+C6,0)</f>
      </c>
      <c r="F6" s="7">
        <f>B6*POWER(1+C6,1)</f>
      </c>
      <c r="G6" s="7">
        <f>B6*POWER(1+C6,2)</f>
      </c>
      <c r="H6" s="7">
        <f>B6*POWER(1+C6,3)</f>
      </c>
      <c r="I6" s="7">
        <f>B6*POWER(1+C6,4)</f>
      </c>
      <c r="J6" s="7">
        <f>B6*POWER(1+C6,5)</f>
      </c>
      <c r="K6" s="7">
        <f>B6*POWER(1+C6,6)</f>
      </c>
      <c r="L6" s="7">
        <f>B6*POWER(1+C6,7)</f>
      </c>
      <c r="M6" s="7">
        <f>B6*POWER(1+C6,8)</f>
      </c>
      <c r="N6" s="7">
        <f>B6*POWER(1+C6,9)</f>
      </c>
      <c r="O6" s="7">
        <f>B6*POWER(1+C6,10)</f>
      </c>
      <c r="P6" s="7">
        <f>B6*POWER(1+C6,11)</f>
      </c>
      <c r="Q6" s="7">
        <f>B6*POWER(1+C6,12)</f>
      </c>
      <c r="R6" s="7">
        <f>B6*POWER(1+C6,13)</f>
      </c>
      <c r="S6" s="7">
        <f>B6*POWER(1+C6,14)</f>
      </c>
      <c r="T6" s="7">
        <f>B6*POWER(1+C6,15)</f>
      </c>
      <c r="U6" s="7">
        <f>B6*POWER(1+C6,16)</f>
      </c>
      <c r="V6" s="7">
        <f>B6*POWER(1+C6,17)</f>
      </c>
      <c r="W6" s="7">
        <f>B6*POWER(1+C6,18)</f>
      </c>
      <c r="X6" s="7">
        <f>B6*POWER(1+C6,19)</f>
      </c>
      <c r="Y6" s="7">
        <f>B6*POWER(1+C6,20)</f>
      </c>
      <c r="Z6" s="7">
        <f>B6*POWER(1+C6,21)</f>
      </c>
      <c r="AA6" s="7">
        <f>B6*POWER(1+C6,22)</f>
      </c>
      <c r="AB6" s="7">
        <f>B6*POWER(1+C6,23)</f>
      </c>
      <c r="AC6" s="7">
        <f>SUM(E6:G6)</f>
      </c>
      <c r="AD6" s="7">
        <f>SUM(H6:J6)</f>
      </c>
      <c r="AE6" s="7">
        <f>SUM(K6:M6)</f>
      </c>
      <c r="AF6" s="7">
        <f>SUM(N6:P6)</f>
      </c>
      <c r="AG6" s="31">
        <f>SUM(AC6:AF6)</f>
      </c>
      <c r="AH6" s="7">
        <f>SUM(Q6:S6)</f>
      </c>
      <c r="AI6" s="7">
        <f>SUM(T6:V6)</f>
      </c>
      <c r="AJ6" s="7">
        <f>SUM(W6:Y6)</f>
      </c>
      <c r="AK6" s="7">
        <f>SUM(Z6:AB6)</f>
      </c>
      <c r="AL6" s="31">
        <f>SUM(AH6:AK6)</f>
      </c>
      <c r="AM6" s="32">
        <f>AG6+AL6</f>
      </c>
    </row>
    <row r="7" spans="1:39" x14ac:dyDescent="0.25">
      <c r="A7" t="s">
        <v>107</v>
      </c>
      <c r="B7" s="37">
        <v>2000</v>
      </c>
      <c r="C7" s="38">
        <v>0.05</v>
      </c>
      <c r="D7" s="39" t="s">
        <v>108</v>
      </c>
      <c r="E7" s="7">
        <f>B7*POWER(1+C7,0)</f>
      </c>
      <c r="F7" s="7">
        <f>B7*POWER(1+C7,1)</f>
      </c>
      <c r="G7" s="7">
        <f>B7*POWER(1+C7,2)</f>
      </c>
      <c r="H7" s="7">
        <f>B7*POWER(1+C7,3)</f>
      </c>
      <c r="I7" s="7">
        <f>B7*POWER(1+C7,4)</f>
      </c>
      <c r="J7" s="7">
        <f>B7*POWER(1+C7,5)</f>
      </c>
      <c r="K7" s="7">
        <f>B7*POWER(1+C7,6)</f>
      </c>
      <c r="L7" s="7">
        <f>B7*POWER(1+C7,7)</f>
      </c>
      <c r="M7" s="7">
        <f>B7*POWER(1+C7,8)</f>
      </c>
      <c r="N7" s="7">
        <f>B7*POWER(1+C7,9)</f>
      </c>
      <c r="O7" s="7">
        <f>B7*POWER(1+C7,10)</f>
      </c>
      <c r="P7" s="7">
        <f>B7*POWER(1+C7,11)</f>
      </c>
      <c r="Q7" s="7">
        <f>B7*POWER(1+C7,12)</f>
      </c>
      <c r="R7" s="7">
        <f>B7*POWER(1+C7,13)</f>
      </c>
      <c r="S7" s="7">
        <f>B7*POWER(1+C7,14)</f>
      </c>
      <c r="T7" s="7">
        <f>B7*POWER(1+C7,15)</f>
      </c>
      <c r="U7" s="7">
        <f>B7*POWER(1+C7,16)</f>
      </c>
      <c r="V7" s="7">
        <f>B7*POWER(1+C7,17)</f>
      </c>
      <c r="W7" s="7">
        <f>B7*POWER(1+C7,18)</f>
      </c>
      <c r="X7" s="7">
        <f>B7*POWER(1+C7,19)</f>
      </c>
      <c r="Y7" s="7">
        <f>B7*POWER(1+C7,20)</f>
      </c>
      <c r="Z7" s="7">
        <f>B7*POWER(1+C7,21)</f>
      </c>
      <c r="AA7" s="7">
        <f>B7*POWER(1+C7,22)</f>
      </c>
      <c r="AB7" s="7">
        <f>B7*POWER(1+C7,23)</f>
      </c>
      <c r="AC7" s="7">
        <f>SUM(E7:G7)</f>
      </c>
      <c r="AD7" s="7">
        <f>SUM(H7:J7)</f>
      </c>
      <c r="AE7" s="7">
        <f>SUM(K7:M7)</f>
      </c>
      <c r="AF7" s="7">
        <f>SUM(N7:P7)</f>
      </c>
      <c r="AG7" s="31">
        <f>SUM(AC7:AF7)</f>
      </c>
      <c r="AH7" s="7">
        <f>SUM(Q7:S7)</f>
      </c>
      <c r="AI7" s="7">
        <f>SUM(T7:V7)</f>
      </c>
      <c r="AJ7" s="7">
        <f>SUM(W7:Y7)</f>
      </c>
      <c r="AK7" s="7">
        <f>SUM(Z7:AB7)</f>
      </c>
      <c r="AL7" s="31">
        <f>SUM(AH7:AK7)</f>
      </c>
      <c r="AM7" s="32">
        <f>AG7+AL7</f>
      </c>
    </row>
    <row r="8" spans="1:39" x14ac:dyDescent="0.25">
      <c r="A8" t="s">
        <v>109</v>
      </c>
      <c r="B8" s="37">
        <v>3500</v>
      </c>
      <c r="C8" s="38">
        <v>0.12</v>
      </c>
      <c r="D8" s="39" t="s">
        <v>110</v>
      </c>
      <c r="E8" s="7">
        <f>B8*POWER(1+C8,0)</f>
      </c>
      <c r="F8" s="7">
        <f>B8*POWER(1+C8,1)</f>
      </c>
      <c r="G8" s="7">
        <f>B8*POWER(1+C8,2)</f>
      </c>
      <c r="H8" s="7">
        <f>B8*POWER(1+C8,3)</f>
      </c>
      <c r="I8" s="7">
        <f>B8*POWER(1+C8,4)</f>
      </c>
      <c r="J8" s="7">
        <f>B8*POWER(1+C8,5)</f>
      </c>
      <c r="K8" s="7">
        <f>B8*POWER(1+C8,6)</f>
      </c>
      <c r="L8" s="7">
        <f>B8*POWER(1+C8,7)</f>
      </c>
      <c r="M8" s="7">
        <f>B8*POWER(1+C8,8)</f>
      </c>
      <c r="N8" s="7">
        <f>B8*POWER(1+C8,9)</f>
      </c>
      <c r="O8" s="7">
        <f>B8*POWER(1+C8,10)</f>
      </c>
      <c r="P8" s="7">
        <f>B8*POWER(1+C8,11)</f>
      </c>
      <c r="Q8" s="7">
        <f>B8*POWER(1+C8,12)</f>
      </c>
      <c r="R8" s="7">
        <f>B8*POWER(1+C8,13)</f>
      </c>
      <c r="S8" s="7">
        <f>B8*POWER(1+C8,14)</f>
      </c>
      <c r="T8" s="7">
        <f>B8*POWER(1+C8,15)</f>
      </c>
      <c r="U8" s="7">
        <f>B8*POWER(1+C8,16)</f>
      </c>
      <c r="V8" s="7">
        <f>B8*POWER(1+C8,17)</f>
      </c>
      <c r="W8" s="7">
        <f>B8*POWER(1+C8,18)</f>
      </c>
      <c r="X8" s="7">
        <f>B8*POWER(1+C8,19)</f>
      </c>
      <c r="Y8" s="7">
        <f>B8*POWER(1+C8,20)</f>
      </c>
      <c r="Z8" s="7">
        <f>B8*POWER(1+C8,21)</f>
      </c>
      <c r="AA8" s="7">
        <f>B8*POWER(1+C8,22)</f>
      </c>
      <c r="AB8" s="7">
        <f>B8*POWER(1+C8,23)</f>
      </c>
      <c r="AC8" s="7">
        <f>SUM(E8:G8)</f>
      </c>
      <c r="AD8" s="7">
        <f>SUM(H8:J8)</f>
      </c>
      <c r="AE8" s="7">
        <f>SUM(K8:M8)</f>
      </c>
      <c r="AF8" s="7">
        <f>SUM(N8:P8)</f>
      </c>
      <c r="AG8" s="31">
        <f>SUM(AC8:AF8)</f>
      </c>
      <c r="AH8" s="7">
        <f>SUM(Q8:S8)</f>
      </c>
      <c r="AI8" s="7">
        <f>SUM(T8:V8)</f>
      </c>
      <c r="AJ8" s="7">
        <f>SUM(W8:Y8)</f>
      </c>
      <c r="AK8" s="7">
        <f>SUM(Z8:AB8)</f>
      </c>
      <c r="AL8" s="31">
        <f>SUM(AH8:AK8)</f>
      </c>
      <c r="AM8" s="32">
        <f>AG8+AL8</f>
      </c>
    </row>
    <row r="9" spans="1:39" x14ac:dyDescent="0.25">
      <c r="A9" t="s">
        <v>111</v>
      </c>
      <c r="B9" s="37">
        <v>2000</v>
      </c>
      <c r="C9" s="38">
        <v>0.05</v>
      </c>
      <c r="D9" s="39" t="s">
        <v>112</v>
      </c>
      <c r="E9" s="7">
        <f>B9*POWER(1+C9,0)</f>
      </c>
      <c r="F9" s="7">
        <f>B9*POWER(1+C9,1)</f>
      </c>
      <c r="G9" s="7">
        <f>B9*POWER(1+C9,2)</f>
      </c>
      <c r="H9" s="7">
        <f>B9*POWER(1+C9,3)</f>
      </c>
      <c r="I9" s="7">
        <f>B9*POWER(1+C9,4)</f>
      </c>
      <c r="J9" s="7">
        <f>B9*POWER(1+C9,5)</f>
      </c>
      <c r="K9" s="7">
        <f>B9*POWER(1+C9,6)</f>
      </c>
      <c r="L9" s="7">
        <f>B9*POWER(1+C9,7)</f>
      </c>
      <c r="M9" s="7">
        <f>B9*POWER(1+C9,8)</f>
      </c>
      <c r="N9" s="7">
        <f>B9*POWER(1+C9,9)</f>
      </c>
      <c r="O9" s="7">
        <f>B9*POWER(1+C9,10)</f>
      </c>
      <c r="P9" s="7">
        <f>B9*POWER(1+C9,11)</f>
      </c>
      <c r="Q9" s="7">
        <f>B9*POWER(1+C9,12)</f>
      </c>
      <c r="R9" s="7">
        <f>B9*POWER(1+C9,13)</f>
      </c>
      <c r="S9" s="7">
        <f>B9*POWER(1+C9,14)</f>
      </c>
      <c r="T9" s="7">
        <f>B9*POWER(1+C9,15)</f>
      </c>
      <c r="U9" s="7">
        <f>B9*POWER(1+C9,16)</f>
      </c>
      <c r="V9" s="7">
        <f>B9*POWER(1+C9,17)</f>
      </c>
      <c r="W9" s="7">
        <f>B9*POWER(1+C9,18)</f>
      </c>
      <c r="X9" s="7">
        <f>B9*POWER(1+C9,19)</f>
      </c>
      <c r="Y9" s="7">
        <f>B9*POWER(1+C9,20)</f>
      </c>
      <c r="Z9" s="7">
        <f>B9*POWER(1+C9,21)</f>
      </c>
      <c r="AA9" s="7">
        <f>B9*POWER(1+C9,22)</f>
      </c>
      <c r="AB9" s="7">
        <f>B9*POWER(1+C9,23)</f>
      </c>
      <c r="AC9" s="7">
        <f>SUM(E9:G9)</f>
      </c>
      <c r="AD9" s="7">
        <f>SUM(H9:J9)</f>
      </c>
      <c r="AE9" s="7">
        <f>SUM(K9:M9)</f>
      </c>
      <c r="AF9" s="7">
        <f>SUM(N9:P9)</f>
      </c>
      <c r="AG9" s="31">
        <f>SUM(AC9:AF9)</f>
      </c>
      <c r="AH9" s="7">
        <f>SUM(Q9:S9)</f>
      </c>
      <c r="AI9" s="7">
        <f>SUM(T9:V9)</f>
      </c>
      <c r="AJ9" s="7">
        <f>SUM(W9:Y9)</f>
      </c>
      <c r="AK9" s="7">
        <f>SUM(Z9:AB9)</f>
      </c>
      <c r="AL9" s="31">
        <f>SUM(AH9:AK9)</f>
      </c>
      <c r="AM9" s="32">
        <f>AG9+AL9</f>
      </c>
    </row>
    <row r="10" spans="1:39" x14ac:dyDescent="0.25">
      <c r="A10" t="s">
        <v>113</v>
      </c>
      <c r="B10" s="37">
        <v>4000</v>
      </c>
      <c r="C10" s="38">
        <v>0.08</v>
      </c>
      <c r="D10" s="39" t="s">
        <v>114</v>
      </c>
      <c r="E10" s="7">
        <f>B10*POWER(1+C10,0)</f>
      </c>
      <c r="F10" s="7">
        <f>B10*POWER(1+C10,1)</f>
      </c>
      <c r="G10" s="7">
        <f>B10*POWER(1+C10,2)</f>
      </c>
      <c r="H10" s="7">
        <f>B10*POWER(1+C10,3)</f>
      </c>
      <c r="I10" s="7">
        <f>B10*POWER(1+C10,4)</f>
      </c>
      <c r="J10" s="7">
        <f>B10*POWER(1+C10,5)</f>
      </c>
      <c r="K10" s="7">
        <f>B10*POWER(1+C10,6)</f>
      </c>
      <c r="L10" s="7">
        <f>B10*POWER(1+C10,7)</f>
      </c>
      <c r="M10" s="7">
        <f>B10*POWER(1+C10,8)</f>
      </c>
      <c r="N10" s="7">
        <f>B10*POWER(1+C10,9)</f>
      </c>
      <c r="O10" s="7">
        <f>B10*POWER(1+C10,10)</f>
      </c>
      <c r="P10" s="7">
        <f>B10*POWER(1+C10,11)</f>
      </c>
      <c r="Q10" s="7">
        <f>B10*POWER(1+C10,12)</f>
      </c>
      <c r="R10" s="7">
        <f>B10*POWER(1+C10,13)</f>
      </c>
      <c r="S10" s="7">
        <f>B10*POWER(1+C10,14)</f>
      </c>
      <c r="T10" s="7">
        <f>B10*POWER(1+C10,15)</f>
      </c>
      <c r="U10" s="7">
        <f>B10*POWER(1+C10,16)</f>
      </c>
      <c r="V10" s="7">
        <f>B10*POWER(1+C10,17)</f>
      </c>
      <c r="W10" s="7">
        <f>B10*POWER(1+C10,18)</f>
      </c>
      <c r="X10" s="7">
        <f>B10*POWER(1+C10,19)</f>
      </c>
      <c r="Y10" s="7">
        <f>B10*POWER(1+C10,20)</f>
      </c>
      <c r="Z10" s="7">
        <f>B10*POWER(1+C10,21)</f>
      </c>
      <c r="AA10" s="7">
        <f>B10*POWER(1+C10,22)</f>
      </c>
      <c r="AB10" s="7">
        <f>B10*POWER(1+C10,23)</f>
      </c>
      <c r="AC10" s="7">
        <f>SUM(E10:G10)</f>
      </c>
      <c r="AD10" s="7">
        <f>SUM(H10:J10)</f>
      </c>
      <c r="AE10" s="7">
        <f>SUM(K10:M10)</f>
      </c>
      <c r="AF10" s="7">
        <f>SUM(N10:P10)</f>
      </c>
      <c r="AG10" s="31">
        <f>SUM(AC10:AF10)</f>
      </c>
      <c r="AH10" s="7">
        <f>SUM(Q10:S10)</f>
      </c>
      <c r="AI10" s="7">
        <f>SUM(T10:V10)</f>
      </c>
      <c r="AJ10" s="7">
        <f>SUM(W10:Y10)</f>
      </c>
      <c r="AK10" s="7">
        <f>SUM(Z10:AB10)</f>
      </c>
      <c r="AL10" s="31">
        <f>SUM(AH10:AK10)</f>
      </c>
      <c r="AM10" s="32">
        <f>AG10+AL10</f>
      </c>
    </row>
    <row r="11" spans="1:39" x14ac:dyDescent="0.25">
      <c r="A11" t="s">
        <v>115</v>
      </c>
      <c r="B11" s="37">
        <v>1500</v>
      </c>
      <c r="C11" s="38">
        <v>0.03</v>
      </c>
      <c r="D11" s="39" t="s">
        <v>116</v>
      </c>
      <c r="E11" s="7">
        <f>B11*POWER(1+C11,0)</f>
      </c>
      <c r="F11" s="7">
        <f>B11*POWER(1+C11,1)</f>
      </c>
      <c r="G11" s="7">
        <f>B11*POWER(1+C11,2)</f>
      </c>
      <c r="H11" s="7">
        <f>B11*POWER(1+C11,3)</f>
      </c>
      <c r="I11" s="7">
        <f>B11*POWER(1+C11,4)</f>
      </c>
      <c r="J11" s="7">
        <f>B11*POWER(1+C11,5)</f>
      </c>
      <c r="K11" s="7">
        <f>B11*POWER(1+C11,6)</f>
      </c>
      <c r="L11" s="7">
        <f>B11*POWER(1+C11,7)</f>
      </c>
      <c r="M11" s="7">
        <f>B11*POWER(1+C11,8)</f>
      </c>
      <c r="N11" s="7">
        <f>B11*POWER(1+C11,9)</f>
      </c>
      <c r="O11" s="7">
        <f>B11*POWER(1+C11,10)</f>
      </c>
      <c r="P11" s="7">
        <f>B11*POWER(1+C11,11)</f>
      </c>
      <c r="Q11" s="7">
        <f>B11*POWER(1+C11,12)</f>
      </c>
      <c r="R11" s="7">
        <f>B11*POWER(1+C11,13)</f>
      </c>
      <c r="S11" s="7">
        <f>B11*POWER(1+C11,14)</f>
      </c>
      <c r="T11" s="7">
        <f>B11*POWER(1+C11,15)</f>
      </c>
      <c r="U11" s="7">
        <f>B11*POWER(1+C11,16)</f>
      </c>
      <c r="V11" s="7">
        <f>B11*POWER(1+C11,17)</f>
      </c>
      <c r="W11" s="7">
        <f>B11*POWER(1+C11,18)</f>
      </c>
      <c r="X11" s="7">
        <f>B11*POWER(1+C11,19)</f>
      </c>
      <c r="Y11" s="7">
        <f>B11*POWER(1+C11,20)</f>
      </c>
      <c r="Z11" s="7">
        <f>B11*POWER(1+C11,21)</f>
      </c>
      <c r="AA11" s="7">
        <f>B11*POWER(1+C11,22)</f>
      </c>
      <c r="AB11" s="7">
        <f>B11*POWER(1+C11,23)</f>
      </c>
      <c r="AC11" s="7">
        <f>SUM(E11:G11)</f>
      </c>
      <c r="AD11" s="7">
        <f>SUM(H11:J11)</f>
      </c>
      <c r="AE11" s="7">
        <f>SUM(K11:M11)</f>
      </c>
      <c r="AF11" s="7">
        <f>SUM(N11:P11)</f>
      </c>
      <c r="AG11" s="31">
        <f>SUM(AC11:AF11)</f>
      </c>
      <c r="AH11" s="7">
        <f>SUM(Q11:S11)</f>
      </c>
      <c r="AI11" s="7">
        <f>SUM(T11:V11)</f>
      </c>
      <c r="AJ11" s="7">
        <f>SUM(W11:Y11)</f>
      </c>
      <c r="AK11" s="7">
        <f>SUM(Z11:AB11)</f>
      </c>
      <c r="AL11" s="31">
        <f>SUM(AH11:AK11)</f>
      </c>
      <c r="AM11" s="32">
        <f>AG11+AL11</f>
      </c>
    </row>
    <row r="12" spans="1:39" x14ac:dyDescent="0.25">
      <c r="A12" t="s">
        <v>117</v>
      </c>
      <c r="B12" s="37">
        <v>3000</v>
      </c>
      <c r="C12" s="38">
        <v>0.02</v>
      </c>
      <c r="D12" s="39" t="s">
        <v>118</v>
      </c>
      <c r="E12" s="7">
        <f>B12*POWER(1+C12,0)</f>
      </c>
      <c r="F12" s="7">
        <f>B12*POWER(1+C12,1)</f>
      </c>
      <c r="G12" s="7">
        <f>B12*POWER(1+C12,2)</f>
      </c>
      <c r="H12" s="7">
        <f>B12*POWER(1+C12,3)</f>
      </c>
      <c r="I12" s="7">
        <f>B12*POWER(1+C12,4)</f>
      </c>
      <c r="J12" s="7">
        <f>B12*POWER(1+C12,5)</f>
      </c>
      <c r="K12" s="7">
        <f>B12*POWER(1+C12,6)</f>
      </c>
      <c r="L12" s="7">
        <f>B12*POWER(1+C12,7)</f>
      </c>
      <c r="M12" s="7">
        <f>B12*POWER(1+C12,8)</f>
      </c>
      <c r="N12" s="7">
        <f>B12*POWER(1+C12,9)</f>
      </c>
      <c r="O12" s="7">
        <f>B12*POWER(1+C12,10)</f>
      </c>
      <c r="P12" s="7">
        <f>B12*POWER(1+C12,11)</f>
      </c>
      <c r="Q12" s="7">
        <f>B12*POWER(1+C12,12)</f>
      </c>
      <c r="R12" s="7">
        <f>B12*POWER(1+C12,13)</f>
      </c>
      <c r="S12" s="7">
        <f>B12*POWER(1+C12,14)</f>
      </c>
      <c r="T12" s="7">
        <f>B12*POWER(1+C12,15)</f>
      </c>
      <c r="U12" s="7">
        <f>B12*POWER(1+C12,16)</f>
      </c>
      <c r="V12" s="7">
        <f>B12*POWER(1+C12,17)</f>
      </c>
      <c r="W12" s="7">
        <f>B12*POWER(1+C12,18)</f>
      </c>
      <c r="X12" s="7">
        <f>B12*POWER(1+C12,19)</f>
      </c>
      <c r="Y12" s="7">
        <f>B12*POWER(1+C12,20)</f>
      </c>
      <c r="Z12" s="7">
        <f>B12*POWER(1+C12,21)</f>
      </c>
      <c r="AA12" s="7">
        <f>B12*POWER(1+C12,22)</f>
      </c>
      <c r="AB12" s="7">
        <f>B12*POWER(1+C12,23)</f>
      </c>
      <c r="AC12" s="7">
        <f>SUM(E12:G12)</f>
      </c>
      <c r="AD12" s="7">
        <f>SUM(H12:J12)</f>
      </c>
      <c r="AE12" s="7">
        <f>SUM(K12:M12)</f>
      </c>
      <c r="AF12" s="7">
        <f>SUM(N12:P12)</f>
      </c>
      <c r="AG12" s="31">
        <f>SUM(AC12:AF12)</f>
      </c>
      <c r="AH12" s="7">
        <f>SUM(Q12:S12)</f>
      </c>
      <c r="AI12" s="7">
        <f>SUM(T12:V12)</f>
      </c>
      <c r="AJ12" s="7">
        <f>SUM(W12:Y12)</f>
      </c>
      <c r="AK12" s="7">
        <f>SUM(Z12:AB12)</f>
      </c>
      <c r="AL12" s="31">
        <f>SUM(AH12:AK12)</f>
      </c>
      <c r="AM12" s="32">
        <f>AG12+AL12</f>
      </c>
    </row>
    <row r="13" spans="1:39" x14ac:dyDescent="0.25">
      <c r="A13" t="s">
        <v>119</v>
      </c>
      <c r="B13" s="37">
        <v>2000</v>
      </c>
      <c r="C13" s="38">
        <v>0.02</v>
      </c>
      <c r="D13" s="39" t="s">
        <v>120</v>
      </c>
      <c r="E13" s="7">
        <f>B13*POWER(1+C13,0)</f>
      </c>
      <c r="F13" s="7">
        <f>B13*POWER(1+C13,1)</f>
      </c>
      <c r="G13" s="7">
        <f>B13*POWER(1+C13,2)</f>
      </c>
      <c r="H13" s="7">
        <f>B13*POWER(1+C13,3)</f>
      </c>
      <c r="I13" s="7">
        <f>B13*POWER(1+C13,4)</f>
      </c>
      <c r="J13" s="7">
        <f>B13*POWER(1+C13,5)</f>
      </c>
      <c r="K13" s="7">
        <f>B13*POWER(1+C13,6)</f>
      </c>
      <c r="L13" s="7">
        <f>B13*POWER(1+C13,7)</f>
      </c>
      <c r="M13" s="7">
        <f>B13*POWER(1+C13,8)</f>
      </c>
      <c r="N13" s="7">
        <f>B13*POWER(1+C13,9)</f>
      </c>
      <c r="O13" s="7">
        <f>B13*POWER(1+C13,10)</f>
      </c>
      <c r="P13" s="7">
        <f>B13*POWER(1+C13,11)</f>
      </c>
      <c r="Q13" s="7">
        <f>B13*POWER(1+C13,12)</f>
      </c>
      <c r="R13" s="7">
        <f>B13*POWER(1+C13,13)</f>
      </c>
      <c r="S13" s="7">
        <f>B13*POWER(1+C13,14)</f>
      </c>
      <c r="T13" s="7">
        <f>B13*POWER(1+C13,15)</f>
      </c>
      <c r="U13" s="7">
        <f>B13*POWER(1+C13,16)</f>
      </c>
      <c r="V13" s="7">
        <f>B13*POWER(1+C13,17)</f>
      </c>
      <c r="W13" s="7">
        <f>B13*POWER(1+C13,18)</f>
      </c>
      <c r="X13" s="7">
        <f>B13*POWER(1+C13,19)</f>
      </c>
      <c r="Y13" s="7">
        <f>B13*POWER(1+C13,20)</f>
      </c>
      <c r="Z13" s="7">
        <f>B13*POWER(1+C13,21)</f>
      </c>
      <c r="AA13" s="7">
        <f>B13*POWER(1+C13,22)</f>
      </c>
      <c r="AB13" s="7">
        <f>B13*POWER(1+C13,23)</f>
      </c>
      <c r="AC13" s="7">
        <f>SUM(E13:G13)</f>
      </c>
      <c r="AD13" s="7">
        <f>SUM(H13:J13)</f>
      </c>
      <c r="AE13" s="7">
        <f>SUM(K13:M13)</f>
      </c>
      <c r="AF13" s="7">
        <f>SUM(N13:P13)</f>
      </c>
      <c r="AG13" s="31">
        <f>SUM(AC13:AF13)</f>
      </c>
      <c r="AH13" s="7">
        <f>SUM(Q13:S13)</f>
      </c>
      <c r="AI13" s="7">
        <f>SUM(T13:V13)</f>
      </c>
      <c r="AJ13" s="7">
        <f>SUM(W13:Y13)</f>
      </c>
      <c r="AK13" s="7">
        <f>SUM(Z13:AB13)</f>
      </c>
      <c r="AL13" s="31">
        <f>SUM(AH13:AK13)</f>
      </c>
      <c r="AM13" s="32">
        <f>AG13+AL13</f>
      </c>
    </row>
    <row r="14" spans="1:39" x14ac:dyDescent="0.25">
      <c r="A14" s="8" t="s">
        <v>121</v>
      </c>
      <c r="E14" s="40">
        <f>SUM(E4:E13)</f>
      </c>
      <c r="F14" s="40">
        <f>SUM(F4:F13)</f>
      </c>
      <c r="G14" s="40">
        <f>SUM(G4:G13)</f>
      </c>
      <c r="H14" s="40">
        <f>SUM(H4:H13)</f>
      </c>
      <c r="I14" s="40">
        <f>SUM(I4:I13)</f>
      </c>
      <c r="J14" s="40">
        <f>SUM(J4:J13)</f>
      </c>
      <c r="K14" s="40">
        <f>SUM(K4:K13)</f>
      </c>
      <c r="L14" s="40">
        <f>SUM(L4:L13)</f>
      </c>
      <c r="M14" s="40">
        <f>SUM(M4:M13)</f>
      </c>
      <c r="N14" s="40">
        <f>SUM(N4:N13)</f>
      </c>
      <c r="O14" s="40">
        <f>SUM(O4:O13)</f>
      </c>
      <c r="P14" s="40">
        <f>SUM(P4:P13)</f>
      </c>
      <c r="Q14" s="40">
        <f>SUM(Q4:Q13)</f>
      </c>
      <c r="R14" s="40">
        <f>SUM(R4:R13)</f>
      </c>
      <c r="S14" s="40">
        <f>SUM(S4:S13)</f>
      </c>
      <c r="T14" s="40">
        <f>SUM(T4:T13)</f>
      </c>
      <c r="U14" s="40">
        <f>SUM(U4:U13)</f>
      </c>
      <c r="V14" s="40">
        <f>SUM(V4:V13)</f>
      </c>
      <c r="W14" s="40">
        <f>SUM(W4:W13)</f>
      </c>
      <c r="X14" s="40">
        <f>SUM(X4:X13)</f>
      </c>
      <c r="Y14" s="40">
        <f>SUM(Y4:Y13)</f>
      </c>
      <c r="Z14" s="40">
        <f>SUM(Z4:Z13)</f>
      </c>
      <c r="AA14" s="40">
        <f>SUM(AA4:AA13)</f>
      </c>
      <c r="AB14" s="40">
        <f>SUM(AB4:AB13)</f>
      </c>
      <c r="AC14" s="40">
        <f>SUM(AC4:AC13)</f>
      </c>
      <c r="AD14" s="40">
        <f>SUM(AD4:AD13)</f>
      </c>
      <c r="AE14" s="40">
        <f>SUM(AE4:AE13)</f>
      </c>
      <c r="AF14" s="40">
        <f>SUM(AF4:AF13)</f>
      </c>
      <c r="AG14" s="40">
        <f>SUM(AG4:AG13)</f>
      </c>
      <c r="AH14" s="40">
        <f>SUM(AH4:AH13)</f>
      </c>
      <c r="AI14" s="40">
        <f>SUM(AI4:AI13)</f>
      </c>
      <c r="AJ14" s="40">
        <f>SUM(AJ4:AJ13)</f>
      </c>
      <c r="AK14" s="40">
        <f>SUM(AK4:AK13)</f>
      </c>
      <c r="AL14" s="40">
        <f>SUM(AL4:AL13)</f>
      </c>
      <c r="AM14" s="40">
        <f>SUM(AM4:AM13)</f>
      </c>
    </row>
    <row r="15" spans="1:39" x14ac:dyDescent="0.25">
      <c r="A15" s="10" t="s">
        <v>122</v>
      </c>
      <c r="E15" s="11">
        <f>E14</f>
      </c>
      <c r="F15" s="11">
        <f>E15+F14</f>
      </c>
      <c r="G15" s="11">
        <f>F15+G14</f>
      </c>
      <c r="H15" s="11">
        <f>G15+H14</f>
      </c>
      <c r="I15" s="11">
        <f>H15+I14</f>
      </c>
      <c r="J15" s="11">
        <f>I15+J14</f>
      </c>
      <c r="K15" s="11">
        <f>J15+K14</f>
      </c>
      <c r="L15" s="11">
        <f>K15+L14</f>
      </c>
      <c r="M15" s="11">
        <f>L15+M14</f>
      </c>
      <c r="N15" s="11">
        <f>M15+N14</f>
      </c>
      <c r="O15" s="11">
        <f>N15+O14</f>
      </c>
      <c r="P15" s="11">
        <f>O15+P14</f>
      </c>
      <c r="Q15" s="11">
        <f>P15+Q14</f>
      </c>
      <c r="R15" s="11">
        <f>Q15+R14</f>
      </c>
      <c r="S15" s="11">
        <f>R15+S14</f>
      </c>
      <c r="T15" s="11">
        <f>S15+T14</f>
      </c>
      <c r="U15" s="11">
        <f>T15+U14</f>
      </c>
      <c r="V15" s="11">
        <f>U15+V14</f>
      </c>
      <c r="W15" s="11">
        <f>V15+W14</f>
      </c>
      <c r="X15" s="11">
        <f>W15+X14</f>
      </c>
      <c r="Y15" s="11">
        <f>X15+Y14</f>
      </c>
      <c r="Z15" s="11">
        <f>Y15+Z14</f>
      </c>
      <c r="AA15" s="11">
        <f>Z15+AA14</f>
      </c>
      <c r="AB15" s="11">
        <f>AA15+AB14</f>
      </c>
      <c r="AC15" s="11">
        <f>G15</f>
      </c>
      <c r="AD15" s="11">
        <f>J15</f>
      </c>
      <c r="AE15" s="11">
        <f>M15</f>
      </c>
      <c r="AF15" s="11">
        <f>P15</f>
      </c>
      <c r="AG15" s="12">
        <f>AF15</f>
      </c>
      <c r="AH15" s="11">
        <f>S15</f>
      </c>
      <c r="AI15" s="11">
        <f>V15</f>
      </c>
      <c r="AJ15" s="11">
        <f>Y15</f>
      </c>
      <c r="AK15" s="11">
        <f>AB15</f>
      </c>
      <c r="AL15" s="12">
        <f>AK15</f>
      </c>
      <c r="AM15" s="12">
        <f>AB15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15"/>
  <sheetFormatPr defaultRowHeight="15" outlineLevelRow="0" outlineLevelCol="0" x14ac:dyDescent="55"/>
  <cols>
    <col min="1" max="1" width="35" customWidth="1"/>
    <col min="2" max="2" width="14" customWidth="1"/>
    <col min="3" max="3" width="12" customWidth="1"/>
    <col min="4" max="4" width="45" customWidth="1"/>
    <col min="5" max="16" width="11" customWidth="1"/>
    <col min="17" max="28" width="11" outlineLevel="1" collapsed="1" customWidth="1"/>
    <col min="29" max="39" width="11" customWidth="1"/>
  </cols>
  <sheetData>
    <row r="1" spans="1:1" x14ac:dyDescent="0.25">
      <c r="A1" s="13" t="s">
        <v>40</v>
      </c>
    </row>
    <row r="3" spans="1:39" x14ac:dyDescent="0.25">
      <c r="A3" s="5" t="s">
        <v>97</v>
      </c>
      <c r="B3" s="5" t="s">
        <v>98</v>
      </c>
      <c r="C3" s="5" t="s">
        <v>99</v>
      </c>
      <c r="D3" s="5" t="s">
        <v>100</v>
      </c>
      <c r="E3" s="30" t="s">
        <v>3</v>
      </c>
      <c r="F3" s="30" t="s">
        <v>4</v>
      </c>
      <c r="G3" s="30" t="s">
        <v>5</v>
      </c>
      <c r="H3" s="30" t="s">
        <v>6</v>
      </c>
      <c r="I3" s="30" t="s">
        <v>7</v>
      </c>
      <c r="J3" s="30" t="s">
        <v>8</v>
      </c>
      <c r="K3" s="30" t="s">
        <v>9</v>
      </c>
      <c r="L3" s="30" t="s">
        <v>10</v>
      </c>
      <c r="M3" s="30" t="s">
        <v>11</v>
      </c>
      <c r="N3" s="30" t="s">
        <v>12</v>
      </c>
      <c r="O3" s="30" t="s">
        <v>13</v>
      </c>
      <c r="P3" s="30" t="s">
        <v>14</v>
      </c>
      <c r="Q3" s="30" t="s">
        <v>15</v>
      </c>
      <c r="R3" s="30" t="s">
        <v>16</v>
      </c>
      <c r="S3" s="30" t="s">
        <v>17</v>
      </c>
      <c r="T3" s="30" t="s">
        <v>18</v>
      </c>
      <c r="U3" s="30" t="s">
        <v>19</v>
      </c>
      <c r="V3" s="30" t="s">
        <v>20</v>
      </c>
      <c r="W3" s="30" t="s">
        <v>21</v>
      </c>
      <c r="X3" s="30" t="s">
        <v>22</v>
      </c>
      <c r="Y3" s="30" t="s">
        <v>23</v>
      </c>
      <c r="Z3" s="30" t="s">
        <v>24</v>
      </c>
      <c r="AA3" s="30" t="s">
        <v>25</v>
      </c>
      <c r="AB3" s="30" t="s">
        <v>26</v>
      </c>
      <c r="AC3" s="5" t="s">
        <v>27</v>
      </c>
      <c r="AD3" s="5" t="s">
        <v>28</v>
      </c>
      <c r="AE3" s="5" t="s">
        <v>29</v>
      </c>
      <c r="AF3" s="5" t="s">
        <v>30</v>
      </c>
      <c r="AG3" s="5" t="s">
        <v>31</v>
      </c>
      <c r="AH3" s="5" t="s">
        <v>32</v>
      </c>
      <c r="AI3" s="5" t="s">
        <v>33</v>
      </c>
      <c r="AJ3" s="5" t="s">
        <v>34</v>
      </c>
      <c r="AK3" s="5" t="s">
        <v>35</v>
      </c>
      <c r="AL3" s="5" t="s">
        <v>36</v>
      </c>
      <c r="AM3" s="5" t="s">
        <v>37</v>
      </c>
    </row>
    <row r="4" spans="1:39" x14ac:dyDescent="0.25">
      <c r="A4" t="s">
        <v>123</v>
      </c>
      <c r="B4" s="37">
        <v>5000</v>
      </c>
      <c r="C4" s="38">
        <v>0.08</v>
      </c>
      <c r="D4" s="39" t="s">
        <v>124</v>
      </c>
      <c r="E4" s="7">
        <f>B4*POWER(1+C4,0)</f>
      </c>
      <c r="F4" s="7">
        <f>B4*POWER(1+C4,1)</f>
      </c>
      <c r="G4" s="7">
        <f>B4*POWER(1+C4,2)</f>
      </c>
      <c r="H4" s="7">
        <f>B4*POWER(1+C4,3)</f>
      </c>
      <c r="I4" s="7">
        <f>B4*POWER(1+C4,4)</f>
      </c>
      <c r="J4" s="7">
        <f>B4*POWER(1+C4,5)</f>
      </c>
      <c r="K4" s="7">
        <f>B4*POWER(1+C4,6)</f>
      </c>
      <c r="L4" s="7">
        <f>B4*POWER(1+C4,7)</f>
      </c>
      <c r="M4" s="7">
        <f>B4*POWER(1+C4,8)</f>
      </c>
      <c r="N4" s="7">
        <f>B4*POWER(1+C4,9)</f>
      </c>
      <c r="O4" s="7">
        <f>B4*POWER(1+C4,10)</f>
      </c>
      <c r="P4" s="7">
        <f>B4*POWER(1+C4,11)</f>
      </c>
      <c r="Q4" s="7">
        <f>B4*POWER(1+C4,12)</f>
      </c>
      <c r="R4" s="7">
        <f>B4*POWER(1+C4,13)</f>
      </c>
      <c r="S4" s="7">
        <f>B4*POWER(1+C4,14)</f>
      </c>
      <c r="T4" s="7">
        <f>B4*POWER(1+C4,15)</f>
      </c>
      <c r="U4" s="7">
        <f>B4*POWER(1+C4,16)</f>
      </c>
      <c r="V4" s="7">
        <f>B4*POWER(1+C4,17)</f>
      </c>
      <c r="W4" s="7">
        <f>B4*POWER(1+C4,18)</f>
      </c>
      <c r="X4" s="7">
        <f>B4*POWER(1+C4,19)</f>
      </c>
      <c r="Y4" s="7">
        <f>B4*POWER(1+C4,20)</f>
      </c>
      <c r="Z4" s="7">
        <f>B4*POWER(1+C4,21)</f>
      </c>
      <c r="AA4" s="7">
        <f>B4*POWER(1+C4,22)</f>
      </c>
      <c r="AB4" s="7">
        <f>B4*POWER(1+C4,23)</f>
      </c>
      <c r="AC4" s="7">
        <f>SUM(E4:G4)</f>
      </c>
      <c r="AD4" s="7">
        <f>SUM(H4:J4)</f>
      </c>
      <c r="AE4" s="7">
        <f>SUM(K4:M4)</f>
      </c>
      <c r="AF4" s="7">
        <f>SUM(N4:P4)</f>
      </c>
      <c r="AG4" s="31">
        <f>SUM(AC4:AF4)</f>
      </c>
      <c r="AH4" s="7">
        <f>SUM(Q4:S4)</f>
      </c>
      <c r="AI4" s="7">
        <f>SUM(T4:V4)</f>
      </c>
      <c r="AJ4" s="7">
        <f>SUM(W4:Y4)</f>
      </c>
      <c r="AK4" s="7">
        <f>SUM(Z4:AB4)</f>
      </c>
      <c r="AL4" s="31">
        <f>SUM(AH4:AK4)</f>
      </c>
      <c r="AM4" s="32">
        <f>AG4+AL4</f>
      </c>
    </row>
    <row r="5" spans="1:39" x14ac:dyDescent="0.25">
      <c r="A5" t="s">
        <v>125</v>
      </c>
      <c r="B5" s="37">
        <v>8000</v>
      </c>
      <c r="C5" s="38">
        <v>0.15</v>
      </c>
      <c r="D5" s="39" t="s">
        <v>126</v>
      </c>
      <c r="E5" s="7">
        <f>B5*POWER(1+C5,0)</f>
      </c>
      <c r="F5" s="7">
        <f>B5*POWER(1+C5,1)</f>
      </c>
      <c r="G5" s="7">
        <f>B5*POWER(1+C5,2)</f>
      </c>
      <c r="H5" s="7">
        <f>B5*POWER(1+C5,3)</f>
      </c>
      <c r="I5" s="7">
        <f>B5*POWER(1+C5,4)</f>
      </c>
      <c r="J5" s="7">
        <f>B5*POWER(1+C5,5)</f>
      </c>
      <c r="K5" s="7">
        <f>B5*POWER(1+C5,6)</f>
      </c>
      <c r="L5" s="7">
        <f>B5*POWER(1+C5,7)</f>
      </c>
      <c r="M5" s="7">
        <f>B5*POWER(1+C5,8)</f>
      </c>
      <c r="N5" s="7">
        <f>B5*POWER(1+C5,9)</f>
      </c>
      <c r="O5" s="7">
        <f>B5*POWER(1+C5,10)</f>
      </c>
      <c r="P5" s="7">
        <f>B5*POWER(1+C5,11)</f>
      </c>
      <c r="Q5" s="7">
        <f>B5*POWER(1+C5,12)</f>
      </c>
      <c r="R5" s="7">
        <f>B5*POWER(1+C5,13)</f>
      </c>
      <c r="S5" s="7">
        <f>B5*POWER(1+C5,14)</f>
      </c>
      <c r="T5" s="7">
        <f>B5*POWER(1+C5,15)</f>
      </c>
      <c r="U5" s="7">
        <f>B5*POWER(1+C5,16)</f>
      </c>
      <c r="V5" s="7">
        <f>B5*POWER(1+C5,17)</f>
      </c>
      <c r="W5" s="7">
        <f>B5*POWER(1+C5,18)</f>
      </c>
      <c r="X5" s="7">
        <f>B5*POWER(1+C5,19)</f>
      </c>
      <c r="Y5" s="7">
        <f>B5*POWER(1+C5,20)</f>
      </c>
      <c r="Z5" s="7">
        <f>B5*POWER(1+C5,21)</f>
      </c>
      <c r="AA5" s="7">
        <f>B5*POWER(1+C5,22)</f>
      </c>
      <c r="AB5" s="7">
        <f>B5*POWER(1+C5,23)</f>
      </c>
      <c r="AC5" s="7">
        <f>SUM(E5:G5)</f>
      </c>
      <c r="AD5" s="7">
        <f>SUM(H5:J5)</f>
      </c>
      <c r="AE5" s="7">
        <f>SUM(K5:M5)</f>
      </c>
      <c r="AF5" s="7">
        <f>SUM(N5:P5)</f>
      </c>
      <c r="AG5" s="31">
        <f>SUM(AC5:AF5)</f>
      </c>
      <c r="AH5" s="7">
        <f>SUM(Q5:S5)</f>
      </c>
      <c r="AI5" s="7">
        <f>SUM(T5:V5)</f>
      </c>
      <c r="AJ5" s="7">
        <f>SUM(W5:Y5)</f>
      </c>
      <c r="AK5" s="7">
        <f>SUM(Z5:AB5)</f>
      </c>
      <c r="AL5" s="31">
        <f>SUM(AH5:AK5)</f>
      </c>
      <c r="AM5" s="32">
        <f>AG5+AL5</f>
      </c>
    </row>
    <row r="6" spans="1:39" x14ac:dyDescent="0.25">
      <c r="A6" t="s">
        <v>127</v>
      </c>
      <c r="B6" s="37">
        <v>1500</v>
      </c>
      <c r="C6" s="38">
        <v>0.05</v>
      </c>
      <c r="D6" s="39" t="s">
        <v>128</v>
      </c>
      <c r="E6" s="7">
        <f>B6*POWER(1+C6,0)</f>
      </c>
      <c r="F6" s="7">
        <f>B6*POWER(1+C6,1)</f>
      </c>
      <c r="G6" s="7">
        <f>B6*POWER(1+C6,2)</f>
      </c>
      <c r="H6" s="7">
        <f>B6*POWER(1+C6,3)</f>
      </c>
      <c r="I6" s="7">
        <f>B6*POWER(1+C6,4)</f>
      </c>
      <c r="J6" s="7">
        <f>B6*POWER(1+C6,5)</f>
      </c>
      <c r="K6" s="7">
        <f>B6*POWER(1+C6,6)</f>
      </c>
      <c r="L6" s="7">
        <f>B6*POWER(1+C6,7)</f>
      </c>
      <c r="M6" s="7">
        <f>B6*POWER(1+C6,8)</f>
      </c>
      <c r="N6" s="7">
        <f>B6*POWER(1+C6,9)</f>
      </c>
      <c r="O6" s="7">
        <f>B6*POWER(1+C6,10)</f>
      </c>
      <c r="P6" s="7">
        <f>B6*POWER(1+C6,11)</f>
      </c>
      <c r="Q6" s="7">
        <f>B6*POWER(1+C6,12)</f>
      </c>
      <c r="R6" s="7">
        <f>B6*POWER(1+C6,13)</f>
      </c>
      <c r="S6" s="7">
        <f>B6*POWER(1+C6,14)</f>
      </c>
      <c r="T6" s="7">
        <f>B6*POWER(1+C6,15)</f>
      </c>
      <c r="U6" s="7">
        <f>B6*POWER(1+C6,16)</f>
      </c>
      <c r="V6" s="7">
        <f>B6*POWER(1+C6,17)</f>
      </c>
      <c r="W6" s="7">
        <f>B6*POWER(1+C6,18)</f>
      </c>
      <c r="X6" s="7">
        <f>B6*POWER(1+C6,19)</f>
      </c>
      <c r="Y6" s="7">
        <f>B6*POWER(1+C6,20)</f>
      </c>
      <c r="Z6" s="7">
        <f>B6*POWER(1+C6,21)</f>
      </c>
      <c r="AA6" s="7">
        <f>B6*POWER(1+C6,22)</f>
      </c>
      <c r="AB6" s="7">
        <f>B6*POWER(1+C6,23)</f>
      </c>
      <c r="AC6" s="7">
        <f>SUM(E6:G6)</f>
      </c>
      <c r="AD6" s="7">
        <f>SUM(H6:J6)</f>
      </c>
      <c r="AE6" s="7">
        <f>SUM(K6:M6)</f>
      </c>
      <c r="AF6" s="7">
        <f>SUM(N6:P6)</f>
      </c>
      <c r="AG6" s="31">
        <f>SUM(AC6:AF6)</f>
      </c>
      <c r="AH6" s="7">
        <f>SUM(Q6:S6)</f>
      </c>
      <c r="AI6" s="7">
        <f>SUM(T6:V6)</f>
      </c>
      <c r="AJ6" s="7">
        <f>SUM(W6:Y6)</f>
      </c>
      <c r="AK6" s="7">
        <f>SUM(Z6:AB6)</f>
      </c>
      <c r="AL6" s="31">
        <f>SUM(AH6:AK6)</f>
      </c>
      <c r="AM6" s="32">
        <f>AG6+AL6</f>
      </c>
    </row>
    <row r="7" spans="1:39" x14ac:dyDescent="0.25">
      <c r="A7" t="s">
        <v>129</v>
      </c>
      <c r="B7" s="37">
        <v>3000</v>
      </c>
      <c r="C7" s="38">
        <v>0.1</v>
      </c>
      <c r="D7" s="39" t="s">
        <v>130</v>
      </c>
      <c r="E7" s="7">
        <f>B7*POWER(1+C7,0)</f>
      </c>
      <c r="F7" s="7">
        <f>B7*POWER(1+C7,1)</f>
      </c>
      <c r="G7" s="7">
        <f>B7*POWER(1+C7,2)</f>
      </c>
      <c r="H7" s="7">
        <f>B7*POWER(1+C7,3)</f>
      </c>
      <c r="I7" s="7">
        <f>B7*POWER(1+C7,4)</f>
      </c>
      <c r="J7" s="7">
        <f>B7*POWER(1+C7,5)</f>
      </c>
      <c r="K7" s="7">
        <f>B7*POWER(1+C7,6)</f>
      </c>
      <c r="L7" s="7">
        <f>B7*POWER(1+C7,7)</f>
      </c>
      <c r="M7" s="7">
        <f>B7*POWER(1+C7,8)</f>
      </c>
      <c r="N7" s="7">
        <f>B7*POWER(1+C7,9)</f>
      </c>
      <c r="O7" s="7">
        <f>B7*POWER(1+C7,10)</f>
      </c>
      <c r="P7" s="7">
        <f>B7*POWER(1+C7,11)</f>
      </c>
      <c r="Q7" s="7">
        <f>B7*POWER(1+C7,12)</f>
      </c>
      <c r="R7" s="7">
        <f>B7*POWER(1+C7,13)</f>
      </c>
      <c r="S7" s="7">
        <f>B7*POWER(1+C7,14)</f>
      </c>
      <c r="T7" s="7">
        <f>B7*POWER(1+C7,15)</f>
      </c>
      <c r="U7" s="7">
        <f>B7*POWER(1+C7,16)</f>
      </c>
      <c r="V7" s="7">
        <f>B7*POWER(1+C7,17)</f>
      </c>
      <c r="W7" s="7">
        <f>B7*POWER(1+C7,18)</f>
      </c>
      <c r="X7" s="7">
        <f>B7*POWER(1+C7,19)</f>
      </c>
      <c r="Y7" s="7">
        <f>B7*POWER(1+C7,20)</f>
      </c>
      <c r="Z7" s="7">
        <f>B7*POWER(1+C7,21)</f>
      </c>
      <c r="AA7" s="7">
        <f>B7*POWER(1+C7,22)</f>
      </c>
      <c r="AB7" s="7">
        <f>B7*POWER(1+C7,23)</f>
      </c>
      <c r="AC7" s="7">
        <f>SUM(E7:G7)</f>
      </c>
      <c r="AD7" s="7">
        <f>SUM(H7:J7)</f>
      </c>
      <c r="AE7" s="7">
        <f>SUM(K7:M7)</f>
      </c>
      <c r="AF7" s="7">
        <f>SUM(N7:P7)</f>
      </c>
      <c r="AG7" s="31">
        <f>SUM(AC7:AF7)</f>
      </c>
      <c r="AH7" s="7">
        <f>SUM(Q7:S7)</f>
      </c>
      <c r="AI7" s="7">
        <f>SUM(T7:V7)</f>
      </c>
      <c r="AJ7" s="7">
        <f>SUM(W7:Y7)</f>
      </c>
      <c r="AK7" s="7">
        <f>SUM(Z7:AB7)</f>
      </c>
      <c r="AL7" s="31">
        <f>SUM(AH7:AK7)</f>
      </c>
      <c r="AM7" s="32">
        <f>AG7+AL7</f>
      </c>
    </row>
    <row r="8" spans="1:39" x14ac:dyDescent="0.25">
      <c r="A8" t="s">
        <v>131</v>
      </c>
      <c r="B8" s="37">
        <v>2000</v>
      </c>
      <c r="C8" s="38">
        <v>0.12</v>
      </c>
      <c r="D8" s="39" t="s">
        <v>132</v>
      </c>
      <c r="E8" s="7">
        <f>B8*POWER(1+C8,0)</f>
      </c>
      <c r="F8" s="7">
        <f>B8*POWER(1+C8,1)</f>
      </c>
      <c r="G8" s="7">
        <f>B8*POWER(1+C8,2)</f>
      </c>
      <c r="H8" s="7">
        <f>B8*POWER(1+C8,3)</f>
      </c>
      <c r="I8" s="7">
        <f>B8*POWER(1+C8,4)</f>
      </c>
      <c r="J8" s="7">
        <f>B8*POWER(1+C8,5)</f>
      </c>
      <c r="K8" s="7">
        <f>B8*POWER(1+C8,6)</f>
      </c>
      <c r="L8" s="7">
        <f>B8*POWER(1+C8,7)</f>
      </c>
      <c r="M8" s="7">
        <f>B8*POWER(1+C8,8)</f>
      </c>
      <c r="N8" s="7">
        <f>B8*POWER(1+C8,9)</f>
      </c>
      <c r="O8" s="7">
        <f>B8*POWER(1+C8,10)</f>
      </c>
      <c r="P8" s="7">
        <f>B8*POWER(1+C8,11)</f>
      </c>
      <c r="Q8" s="7">
        <f>B8*POWER(1+C8,12)</f>
      </c>
      <c r="R8" s="7">
        <f>B8*POWER(1+C8,13)</f>
      </c>
      <c r="S8" s="7">
        <f>B8*POWER(1+C8,14)</f>
      </c>
      <c r="T8" s="7">
        <f>B8*POWER(1+C8,15)</f>
      </c>
      <c r="U8" s="7">
        <f>B8*POWER(1+C8,16)</f>
      </c>
      <c r="V8" s="7">
        <f>B8*POWER(1+C8,17)</f>
      </c>
      <c r="W8" s="7">
        <f>B8*POWER(1+C8,18)</f>
      </c>
      <c r="X8" s="7">
        <f>B8*POWER(1+C8,19)</f>
      </c>
      <c r="Y8" s="7">
        <f>B8*POWER(1+C8,20)</f>
      </c>
      <c r="Z8" s="7">
        <f>B8*POWER(1+C8,21)</f>
      </c>
      <c r="AA8" s="7">
        <f>B8*POWER(1+C8,22)</f>
      </c>
      <c r="AB8" s="7">
        <f>B8*POWER(1+C8,23)</f>
      </c>
      <c r="AC8" s="7">
        <f>SUM(E8:G8)</f>
      </c>
      <c r="AD8" s="7">
        <f>SUM(H8:J8)</f>
      </c>
      <c r="AE8" s="7">
        <f>SUM(K8:M8)</f>
      </c>
      <c r="AF8" s="7">
        <f>SUM(N8:P8)</f>
      </c>
      <c r="AG8" s="31">
        <f>SUM(AC8:AF8)</f>
      </c>
      <c r="AH8" s="7">
        <f>SUM(Q8:S8)</f>
      </c>
      <c r="AI8" s="7">
        <f>SUM(T8:V8)</f>
      </c>
      <c r="AJ8" s="7">
        <f>SUM(W8:Y8)</f>
      </c>
      <c r="AK8" s="7">
        <f>SUM(Z8:AB8)</f>
      </c>
      <c r="AL8" s="31">
        <f>SUM(AH8:AK8)</f>
      </c>
      <c r="AM8" s="32">
        <f>AG8+AL8</f>
      </c>
    </row>
    <row r="9" spans="1:39" x14ac:dyDescent="0.25">
      <c r="A9" t="s">
        <v>133</v>
      </c>
      <c r="B9" s="37">
        <v>1000</v>
      </c>
      <c r="C9" s="38">
        <v>0.03</v>
      </c>
      <c r="D9" s="39" t="s">
        <v>134</v>
      </c>
      <c r="E9" s="7">
        <f>B9*POWER(1+C9,0)</f>
      </c>
      <c r="F9" s="7">
        <f>B9*POWER(1+C9,1)</f>
      </c>
      <c r="G9" s="7">
        <f>B9*POWER(1+C9,2)</f>
      </c>
      <c r="H9" s="7">
        <f>B9*POWER(1+C9,3)</f>
      </c>
      <c r="I9" s="7">
        <f>B9*POWER(1+C9,4)</f>
      </c>
      <c r="J9" s="7">
        <f>B9*POWER(1+C9,5)</f>
      </c>
      <c r="K9" s="7">
        <f>B9*POWER(1+C9,6)</f>
      </c>
      <c r="L9" s="7">
        <f>B9*POWER(1+C9,7)</f>
      </c>
      <c r="M9" s="7">
        <f>B9*POWER(1+C9,8)</f>
      </c>
      <c r="N9" s="7">
        <f>B9*POWER(1+C9,9)</f>
      </c>
      <c r="O9" s="7">
        <f>B9*POWER(1+C9,10)</f>
      </c>
      <c r="P9" s="7">
        <f>B9*POWER(1+C9,11)</f>
      </c>
      <c r="Q9" s="7">
        <f>B9*POWER(1+C9,12)</f>
      </c>
      <c r="R9" s="7">
        <f>B9*POWER(1+C9,13)</f>
      </c>
      <c r="S9" s="7">
        <f>B9*POWER(1+C9,14)</f>
      </c>
      <c r="T9" s="7">
        <f>B9*POWER(1+C9,15)</f>
      </c>
      <c r="U9" s="7">
        <f>B9*POWER(1+C9,16)</f>
      </c>
      <c r="V9" s="7">
        <f>B9*POWER(1+C9,17)</f>
      </c>
      <c r="W9" s="7">
        <f>B9*POWER(1+C9,18)</f>
      </c>
      <c r="X9" s="7">
        <f>B9*POWER(1+C9,19)</f>
      </c>
      <c r="Y9" s="7">
        <f>B9*POWER(1+C9,20)</f>
      </c>
      <c r="Z9" s="7">
        <f>B9*POWER(1+C9,21)</f>
      </c>
      <c r="AA9" s="7">
        <f>B9*POWER(1+C9,22)</f>
      </c>
      <c r="AB9" s="7">
        <f>B9*POWER(1+C9,23)</f>
      </c>
      <c r="AC9" s="7">
        <f>SUM(E9:G9)</f>
      </c>
      <c r="AD9" s="7">
        <f>SUM(H9:J9)</f>
      </c>
      <c r="AE9" s="7">
        <f>SUM(K9:M9)</f>
      </c>
      <c r="AF9" s="7">
        <f>SUM(N9:P9)</f>
      </c>
      <c r="AG9" s="31">
        <f>SUM(AC9:AF9)</f>
      </c>
      <c r="AH9" s="7">
        <f>SUM(Q9:S9)</f>
      </c>
      <c r="AI9" s="7">
        <f>SUM(T9:V9)</f>
      </c>
      <c r="AJ9" s="7">
        <f>SUM(W9:Y9)</f>
      </c>
      <c r="AK9" s="7">
        <f>SUM(Z9:AB9)</f>
      </c>
      <c r="AL9" s="31">
        <f>SUM(AH9:AK9)</f>
      </c>
      <c r="AM9" s="32">
        <f>AG9+AL9</f>
      </c>
    </row>
    <row r="10" spans="1:39" x14ac:dyDescent="0.25">
      <c r="A10" t="s">
        <v>135</v>
      </c>
      <c r="B10" s="37">
        <v>1500</v>
      </c>
      <c r="C10" s="38">
        <v>0.05</v>
      </c>
      <c r="D10" s="39" t="s">
        <v>136</v>
      </c>
      <c r="E10" s="7">
        <f>B10*POWER(1+C10,0)</f>
      </c>
      <c r="F10" s="7">
        <f>B10*POWER(1+C10,1)</f>
      </c>
      <c r="G10" s="7">
        <f>B10*POWER(1+C10,2)</f>
      </c>
      <c r="H10" s="7">
        <f>B10*POWER(1+C10,3)</f>
      </c>
      <c r="I10" s="7">
        <f>B10*POWER(1+C10,4)</f>
      </c>
      <c r="J10" s="7">
        <f>B10*POWER(1+C10,5)</f>
      </c>
      <c r="K10" s="7">
        <f>B10*POWER(1+C10,6)</f>
      </c>
      <c r="L10" s="7">
        <f>B10*POWER(1+C10,7)</f>
      </c>
      <c r="M10" s="7">
        <f>B10*POWER(1+C10,8)</f>
      </c>
      <c r="N10" s="7">
        <f>B10*POWER(1+C10,9)</f>
      </c>
      <c r="O10" s="7">
        <f>B10*POWER(1+C10,10)</f>
      </c>
      <c r="P10" s="7">
        <f>B10*POWER(1+C10,11)</f>
      </c>
      <c r="Q10" s="7">
        <f>B10*POWER(1+C10,12)</f>
      </c>
      <c r="R10" s="7">
        <f>B10*POWER(1+C10,13)</f>
      </c>
      <c r="S10" s="7">
        <f>B10*POWER(1+C10,14)</f>
      </c>
      <c r="T10" s="7">
        <f>B10*POWER(1+C10,15)</f>
      </c>
      <c r="U10" s="7">
        <f>B10*POWER(1+C10,16)</f>
      </c>
      <c r="V10" s="7">
        <f>B10*POWER(1+C10,17)</f>
      </c>
      <c r="W10" s="7">
        <f>B10*POWER(1+C10,18)</f>
      </c>
      <c r="X10" s="7">
        <f>B10*POWER(1+C10,19)</f>
      </c>
      <c r="Y10" s="7">
        <f>B10*POWER(1+C10,20)</f>
      </c>
      <c r="Z10" s="7">
        <f>B10*POWER(1+C10,21)</f>
      </c>
      <c r="AA10" s="7">
        <f>B10*POWER(1+C10,22)</f>
      </c>
      <c r="AB10" s="7">
        <f>B10*POWER(1+C10,23)</f>
      </c>
      <c r="AC10" s="7">
        <f>SUM(E10:G10)</f>
      </c>
      <c r="AD10" s="7">
        <f>SUM(H10:J10)</f>
      </c>
      <c r="AE10" s="7">
        <f>SUM(K10:M10)</f>
      </c>
      <c r="AF10" s="7">
        <f>SUM(N10:P10)</f>
      </c>
      <c r="AG10" s="31">
        <f>SUM(AC10:AF10)</f>
      </c>
      <c r="AH10" s="7">
        <f>SUM(Q10:S10)</f>
      </c>
      <c r="AI10" s="7">
        <f>SUM(T10:V10)</f>
      </c>
      <c r="AJ10" s="7">
        <f>SUM(W10:Y10)</f>
      </c>
      <c r="AK10" s="7">
        <f>SUM(Z10:AB10)</f>
      </c>
      <c r="AL10" s="31">
        <f>SUM(AH10:AK10)</f>
      </c>
      <c r="AM10" s="32">
        <f>AG10+AL10</f>
      </c>
    </row>
    <row r="11" spans="1:39" x14ac:dyDescent="0.25">
      <c r="A11" t="s">
        <v>137</v>
      </c>
      <c r="B11" s="37">
        <v>1000</v>
      </c>
      <c r="C11" s="38">
        <v>0.08</v>
      </c>
      <c r="D11" s="39" t="s">
        <v>138</v>
      </c>
      <c r="E11" s="7">
        <f>B11*POWER(1+C11,0)</f>
      </c>
      <c r="F11" s="7">
        <f>B11*POWER(1+C11,1)</f>
      </c>
      <c r="G11" s="7">
        <f>B11*POWER(1+C11,2)</f>
      </c>
      <c r="H11" s="7">
        <f>B11*POWER(1+C11,3)</f>
      </c>
      <c r="I11" s="7">
        <f>B11*POWER(1+C11,4)</f>
      </c>
      <c r="J11" s="7">
        <f>B11*POWER(1+C11,5)</f>
      </c>
      <c r="K11" s="7">
        <f>B11*POWER(1+C11,6)</f>
      </c>
      <c r="L11" s="7">
        <f>B11*POWER(1+C11,7)</f>
      </c>
      <c r="M11" s="7">
        <f>B11*POWER(1+C11,8)</f>
      </c>
      <c r="N11" s="7">
        <f>B11*POWER(1+C11,9)</f>
      </c>
      <c r="O11" s="7">
        <f>B11*POWER(1+C11,10)</f>
      </c>
      <c r="P11" s="7">
        <f>B11*POWER(1+C11,11)</f>
      </c>
      <c r="Q11" s="7">
        <f>B11*POWER(1+C11,12)</f>
      </c>
      <c r="R11" s="7">
        <f>B11*POWER(1+C11,13)</f>
      </c>
      <c r="S11" s="7">
        <f>B11*POWER(1+C11,14)</f>
      </c>
      <c r="T11" s="7">
        <f>B11*POWER(1+C11,15)</f>
      </c>
      <c r="U11" s="7">
        <f>B11*POWER(1+C11,16)</f>
      </c>
      <c r="V11" s="7">
        <f>B11*POWER(1+C11,17)</f>
      </c>
      <c r="W11" s="7">
        <f>B11*POWER(1+C11,18)</f>
      </c>
      <c r="X11" s="7">
        <f>B11*POWER(1+C11,19)</f>
      </c>
      <c r="Y11" s="7">
        <f>B11*POWER(1+C11,20)</f>
      </c>
      <c r="Z11" s="7">
        <f>B11*POWER(1+C11,21)</f>
      </c>
      <c r="AA11" s="7">
        <f>B11*POWER(1+C11,22)</f>
      </c>
      <c r="AB11" s="7">
        <f>B11*POWER(1+C11,23)</f>
      </c>
      <c r="AC11" s="7">
        <f>SUM(E11:G11)</f>
      </c>
      <c r="AD11" s="7">
        <f>SUM(H11:J11)</f>
      </c>
      <c r="AE11" s="7">
        <f>SUM(K11:M11)</f>
      </c>
      <c r="AF11" s="7">
        <f>SUM(N11:P11)</f>
      </c>
      <c r="AG11" s="31">
        <f>SUM(AC11:AF11)</f>
      </c>
      <c r="AH11" s="7">
        <f>SUM(Q11:S11)</f>
      </c>
      <c r="AI11" s="7">
        <f>SUM(T11:V11)</f>
      </c>
      <c r="AJ11" s="7">
        <f>SUM(W11:Y11)</f>
      </c>
      <c r="AK11" s="7">
        <f>SUM(Z11:AB11)</f>
      </c>
      <c r="AL11" s="31">
        <f>SUM(AH11:AK11)</f>
      </c>
      <c r="AM11" s="32">
        <f>AG11+AL11</f>
      </c>
    </row>
    <row r="12" spans="1:39" x14ac:dyDescent="0.25">
      <c r="A12" t="s">
        <v>139</v>
      </c>
      <c r="B12" s="37">
        <v>4000</v>
      </c>
      <c r="C12" s="38">
        <v>0.1</v>
      </c>
      <c r="D12" s="39" t="s">
        <v>140</v>
      </c>
      <c r="E12" s="7">
        <f>B12*POWER(1+C12,0)</f>
      </c>
      <c r="F12" s="7">
        <f>B12*POWER(1+C12,1)</f>
      </c>
      <c r="G12" s="7">
        <f>B12*POWER(1+C12,2)</f>
      </c>
      <c r="H12" s="7">
        <f>B12*POWER(1+C12,3)</f>
      </c>
      <c r="I12" s="7">
        <f>B12*POWER(1+C12,4)</f>
      </c>
      <c r="J12" s="7">
        <f>B12*POWER(1+C12,5)</f>
      </c>
      <c r="K12" s="7">
        <f>B12*POWER(1+C12,6)</f>
      </c>
      <c r="L12" s="7">
        <f>B12*POWER(1+C12,7)</f>
      </c>
      <c r="M12" s="7">
        <f>B12*POWER(1+C12,8)</f>
      </c>
      <c r="N12" s="7">
        <f>B12*POWER(1+C12,9)</f>
      </c>
      <c r="O12" s="7">
        <f>B12*POWER(1+C12,10)</f>
      </c>
      <c r="P12" s="7">
        <f>B12*POWER(1+C12,11)</f>
      </c>
      <c r="Q12" s="7">
        <f>B12*POWER(1+C12,12)</f>
      </c>
      <c r="R12" s="7">
        <f>B12*POWER(1+C12,13)</f>
      </c>
      <c r="S12" s="7">
        <f>B12*POWER(1+C12,14)</f>
      </c>
      <c r="T12" s="7">
        <f>B12*POWER(1+C12,15)</f>
      </c>
      <c r="U12" s="7">
        <f>B12*POWER(1+C12,16)</f>
      </c>
      <c r="V12" s="7">
        <f>B12*POWER(1+C12,17)</f>
      </c>
      <c r="W12" s="7">
        <f>B12*POWER(1+C12,18)</f>
      </c>
      <c r="X12" s="7">
        <f>B12*POWER(1+C12,19)</f>
      </c>
      <c r="Y12" s="7">
        <f>B12*POWER(1+C12,20)</f>
      </c>
      <c r="Z12" s="7">
        <f>B12*POWER(1+C12,21)</f>
      </c>
      <c r="AA12" s="7">
        <f>B12*POWER(1+C12,22)</f>
      </c>
      <c r="AB12" s="7">
        <f>B12*POWER(1+C12,23)</f>
      </c>
      <c r="AC12" s="7">
        <f>SUM(E12:G12)</f>
      </c>
      <c r="AD12" s="7">
        <f>SUM(H12:J12)</f>
      </c>
      <c r="AE12" s="7">
        <f>SUM(K12:M12)</f>
      </c>
      <c r="AF12" s="7">
        <f>SUM(N12:P12)</f>
      </c>
      <c r="AG12" s="31">
        <f>SUM(AC12:AF12)</f>
      </c>
      <c r="AH12" s="7">
        <f>SUM(Q12:S12)</f>
      </c>
      <c r="AI12" s="7">
        <f>SUM(T12:V12)</f>
      </c>
      <c r="AJ12" s="7">
        <f>SUM(W12:Y12)</f>
      </c>
      <c r="AK12" s="7">
        <f>SUM(Z12:AB12)</f>
      </c>
      <c r="AL12" s="31">
        <f>SUM(AH12:AK12)</f>
      </c>
      <c r="AM12" s="32">
        <f>AG12+AL12</f>
      </c>
    </row>
    <row r="13" spans="1:39" x14ac:dyDescent="0.25">
      <c r="A13" t="s">
        <v>141</v>
      </c>
      <c r="B13" s="37">
        <v>2000</v>
      </c>
      <c r="C13" s="38">
        <v>0.05</v>
      </c>
      <c r="D13" s="39" t="s">
        <v>142</v>
      </c>
      <c r="E13" s="7">
        <f>B13*POWER(1+C13,0)</f>
      </c>
      <c r="F13" s="7">
        <f>B13*POWER(1+C13,1)</f>
      </c>
      <c r="G13" s="7">
        <f>B13*POWER(1+C13,2)</f>
      </c>
      <c r="H13" s="7">
        <f>B13*POWER(1+C13,3)</f>
      </c>
      <c r="I13" s="7">
        <f>B13*POWER(1+C13,4)</f>
      </c>
      <c r="J13" s="7">
        <f>B13*POWER(1+C13,5)</f>
      </c>
      <c r="K13" s="7">
        <f>B13*POWER(1+C13,6)</f>
      </c>
      <c r="L13" s="7">
        <f>B13*POWER(1+C13,7)</f>
      </c>
      <c r="M13" s="7">
        <f>B13*POWER(1+C13,8)</f>
      </c>
      <c r="N13" s="7">
        <f>B13*POWER(1+C13,9)</f>
      </c>
      <c r="O13" s="7">
        <f>B13*POWER(1+C13,10)</f>
      </c>
      <c r="P13" s="7">
        <f>B13*POWER(1+C13,11)</f>
      </c>
      <c r="Q13" s="7">
        <f>B13*POWER(1+C13,12)</f>
      </c>
      <c r="R13" s="7">
        <f>B13*POWER(1+C13,13)</f>
      </c>
      <c r="S13" s="7">
        <f>B13*POWER(1+C13,14)</f>
      </c>
      <c r="T13" s="7">
        <f>B13*POWER(1+C13,15)</f>
      </c>
      <c r="U13" s="7">
        <f>B13*POWER(1+C13,16)</f>
      </c>
      <c r="V13" s="7">
        <f>B13*POWER(1+C13,17)</f>
      </c>
      <c r="W13" s="7">
        <f>B13*POWER(1+C13,18)</f>
      </c>
      <c r="X13" s="7">
        <f>B13*POWER(1+C13,19)</f>
      </c>
      <c r="Y13" s="7">
        <f>B13*POWER(1+C13,20)</f>
      </c>
      <c r="Z13" s="7">
        <f>B13*POWER(1+C13,21)</f>
      </c>
      <c r="AA13" s="7">
        <f>B13*POWER(1+C13,22)</f>
      </c>
      <c r="AB13" s="7">
        <f>B13*POWER(1+C13,23)</f>
      </c>
      <c r="AC13" s="7">
        <f>SUM(E13:G13)</f>
      </c>
      <c r="AD13" s="7">
        <f>SUM(H13:J13)</f>
      </c>
      <c r="AE13" s="7">
        <f>SUM(K13:M13)</f>
      </c>
      <c r="AF13" s="7">
        <f>SUM(N13:P13)</f>
      </c>
      <c r="AG13" s="31">
        <f>SUM(AC13:AF13)</f>
      </c>
      <c r="AH13" s="7">
        <f>SUM(Q13:S13)</f>
      </c>
      <c r="AI13" s="7">
        <f>SUM(T13:V13)</f>
      </c>
      <c r="AJ13" s="7">
        <f>SUM(W13:Y13)</f>
      </c>
      <c r="AK13" s="7">
        <f>SUM(Z13:AB13)</f>
      </c>
      <c r="AL13" s="31">
        <f>SUM(AH13:AK13)</f>
      </c>
      <c r="AM13" s="32">
        <f>AG13+AL13</f>
      </c>
    </row>
    <row r="14" spans="1:39" x14ac:dyDescent="0.25">
      <c r="A14" s="8" t="s">
        <v>57</v>
      </c>
      <c r="E14" s="40">
        <f>SUM(E4:E13)</f>
      </c>
      <c r="F14" s="40">
        <f>SUM(F4:F13)</f>
      </c>
      <c r="G14" s="40">
        <f>SUM(G4:G13)</f>
      </c>
      <c r="H14" s="40">
        <f>SUM(H4:H13)</f>
      </c>
      <c r="I14" s="40">
        <f>SUM(I4:I13)</f>
      </c>
      <c r="J14" s="40">
        <f>SUM(J4:J13)</f>
      </c>
      <c r="K14" s="40">
        <f>SUM(K4:K13)</f>
      </c>
      <c r="L14" s="40">
        <f>SUM(L4:L13)</f>
      </c>
      <c r="M14" s="40">
        <f>SUM(M4:M13)</f>
      </c>
      <c r="N14" s="40">
        <f>SUM(N4:N13)</f>
      </c>
      <c r="O14" s="40">
        <f>SUM(O4:O13)</f>
      </c>
      <c r="P14" s="40">
        <f>SUM(P4:P13)</f>
      </c>
      <c r="Q14" s="40">
        <f>SUM(Q4:Q13)</f>
      </c>
      <c r="R14" s="40">
        <f>SUM(R4:R13)</f>
      </c>
      <c r="S14" s="40">
        <f>SUM(S4:S13)</f>
      </c>
      <c r="T14" s="40">
        <f>SUM(T4:T13)</f>
      </c>
      <c r="U14" s="40">
        <f>SUM(U4:U13)</f>
      </c>
      <c r="V14" s="40">
        <f>SUM(V4:V13)</f>
      </c>
      <c r="W14" s="40">
        <f>SUM(W4:W13)</f>
      </c>
      <c r="X14" s="40">
        <f>SUM(X4:X13)</f>
      </c>
      <c r="Y14" s="40">
        <f>SUM(Y4:Y13)</f>
      </c>
      <c r="Z14" s="40">
        <f>SUM(Z4:Z13)</f>
      </c>
      <c r="AA14" s="40">
        <f>SUM(AA4:AA13)</f>
      </c>
      <c r="AB14" s="40">
        <f>SUM(AB4:AB13)</f>
      </c>
      <c r="AC14" s="40">
        <f>SUM(AC4:AC13)</f>
      </c>
      <c r="AD14" s="40">
        <f>SUM(AD4:AD13)</f>
      </c>
      <c r="AE14" s="40">
        <f>SUM(AE4:AE13)</f>
      </c>
      <c r="AF14" s="40">
        <f>SUM(AF4:AF13)</f>
      </c>
      <c r="AG14" s="40">
        <f>SUM(AG4:AG13)</f>
      </c>
      <c r="AH14" s="40">
        <f>SUM(AH4:AH13)</f>
      </c>
      <c r="AI14" s="40">
        <f>SUM(AI4:AI13)</f>
      </c>
      <c r="AJ14" s="40">
        <f>SUM(AJ4:AJ13)</f>
      </c>
      <c r="AK14" s="40">
        <f>SUM(AK4:AK13)</f>
      </c>
      <c r="AL14" s="40">
        <f>SUM(AL4:AL13)</f>
      </c>
      <c r="AM14" s="40">
        <f>SUM(AM4:AM13)</f>
      </c>
    </row>
    <row r="15" spans="1:39" x14ac:dyDescent="0.25">
      <c r="A15" s="10" t="s">
        <v>58</v>
      </c>
      <c r="E15" s="11">
        <f>E14</f>
      </c>
      <c r="F15" s="11">
        <f>E15+F14</f>
      </c>
      <c r="G15" s="11">
        <f>F15+G14</f>
      </c>
      <c r="H15" s="11">
        <f>G15+H14</f>
      </c>
      <c r="I15" s="11">
        <f>H15+I14</f>
      </c>
      <c r="J15" s="11">
        <f>I15+J14</f>
      </c>
      <c r="K15" s="11">
        <f>J15+K14</f>
      </c>
      <c r="L15" s="11">
        <f>K15+L14</f>
      </c>
      <c r="M15" s="11">
        <f>L15+M14</f>
      </c>
      <c r="N15" s="11">
        <f>M15+N14</f>
      </c>
      <c r="O15" s="11">
        <f>N15+O14</f>
      </c>
      <c r="P15" s="11">
        <f>O15+P14</f>
      </c>
      <c r="Q15" s="11">
        <f>P15+Q14</f>
      </c>
      <c r="R15" s="11">
        <f>Q15+R14</f>
      </c>
      <c r="S15" s="11">
        <f>R15+S14</f>
      </c>
      <c r="T15" s="11">
        <f>S15+T14</f>
      </c>
      <c r="U15" s="11">
        <f>T15+U14</f>
      </c>
      <c r="V15" s="11">
        <f>U15+V14</f>
      </c>
      <c r="W15" s="11">
        <f>V15+W14</f>
      </c>
      <c r="X15" s="11">
        <f>W15+X14</f>
      </c>
      <c r="Y15" s="11">
        <f>X15+Y14</f>
      </c>
      <c r="Z15" s="11">
        <f>Y15+Z14</f>
      </c>
      <c r="AA15" s="11">
        <f>Z15+AA14</f>
      </c>
      <c r="AB15" s="11">
        <f>AA15+AB14</f>
      </c>
      <c r="AC15" s="11">
        <f>G15</f>
      </c>
      <c r="AD15" s="11">
        <f>J15</f>
      </c>
      <c r="AE15" s="11">
        <f>M15</f>
      </c>
      <c r="AF15" s="11">
        <f>P15</f>
      </c>
      <c r="AG15" s="12">
        <f>AF15</f>
      </c>
      <c r="AH15" s="11">
        <f>S15</f>
      </c>
      <c r="AI15" s="11">
        <f>V15</f>
      </c>
      <c r="AJ15" s="11">
        <f>Y15</f>
      </c>
      <c r="AK15" s="11">
        <f>AB15</f>
      </c>
      <c r="AL15" s="12">
        <f>AK15</f>
      </c>
      <c r="AM15" s="12">
        <f>AB15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11"/>
  <sheetFormatPr defaultRowHeight="15" outlineLevelRow="0" outlineLevelCol="0" x14ac:dyDescent="55"/>
  <cols>
    <col min="1" max="1" width="35" customWidth="1"/>
    <col min="2" max="2" width="14" customWidth="1"/>
    <col min="3" max="3" width="12" customWidth="1"/>
    <col min="4" max="4" width="45" customWidth="1"/>
    <col min="5" max="16" width="11" customWidth="1"/>
    <col min="17" max="28" width="11" outlineLevel="1" collapsed="1" customWidth="1"/>
    <col min="29" max="39" width="11" customWidth="1"/>
  </cols>
  <sheetData>
    <row r="1" spans="1:1" x14ac:dyDescent="0.25">
      <c r="A1" s="13" t="s">
        <v>41</v>
      </c>
    </row>
    <row r="3" spans="1:39" x14ac:dyDescent="0.25">
      <c r="A3" s="5" t="s">
        <v>97</v>
      </c>
      <c r="B3" s="5" t="s">
        <v>98</v>
      </c>
      <c r="C3" s="5" t="s">
        <v>99</v>
      </c>
      <c r="D3" s="5" t="s">
        <v>100</v>
      </c>
      <c r="E3" s="30" t="s">
        <v>3</v>
      </c>
      <c r="F3" s="30" t="s">
        <v>4</v>
      </c>
      <c r="G3" s="30" t="s">
        <v>5</v>
      </c>
      <c r="H3" s="30" t="s">
        <v>6</v>
      </c>
      <c r="I3" s="30" t="s">
        <v>7</v>
      </c>
      <c r="J3" s="30" t="s">
        <v>8</v>
      </c>
      <c r="K3" s="30" t="s">
        <v>9</v>
      </c>
      <c r="L3" s="30" t="s">
        <v>10</v>
      </c>
      <c r="M3" s="30" t="s">
        <v>11</v>
      </c>
      <c r="N3" s="30" t="s">
        <v>12</v>
      </c>
      <c r="O3" s="30" t="s">
        <v>13</v>
      </c>
      <c r="P3" s="30" t="s">
        <v>14</v>
      </c>
      <c r="Q3" s="30" t="s">
        <v>15</v>
      </c>
      <c r="R3" s="30" t="s">
        <v>16</v>
      </c>
      <c r="S3" s="30" t="s">
        <v>17</v>
      </c>
      <c r="T3" s="30" t="s">
        <v>18</v>
      </c>
      <c r="U3" s="30" t="s">
        <v>19</v>
      </c>
      <c r="V3" s="30" t="s">
        <v>20</v>
      </c>
      <c r="W3" s="30" t="s">
        <v>21</v>
      </c>
      <c r="X3" s="30" t="s">
        <v>22</v>
      </c>
      <c r="Y3" s="30" t="s">
        <v>23</v>
      </c>
      <c r="Z3" s="30" t="s">
        <v>24</v>
      </c>
      <c r="AA3" s="30" t="s">
        <v>25</v>
      </c>
      <c r="AB3" s="30" t="s">
        <v>26</v>
      </c>
      <c r="AC3" s="5" t="s">
        <v>27</v>
      </c>
      <c r="AD3" s="5" t="s">
        <v>28</v>
      </c>
      <c r="AE3" s="5" t="s">
        <v>29</v>
      </c>
      <c r="AF3" s="5" t="s">
        <v>30</v>
      </c>
      <c r="AG3" s="5" t="s">
        <v>31</v>
      </c>
      <c r="AH3" s="5" t="s">
        <v>32</v>
      </c>
      <c r="AI3" s="5" t="s">
        <v>33</v>
      </c>
      <c r="AJ3" s="5" t="s">
        <v>34</v>
      </c>
      <c r="AK3" s="5" t="s">
        <v>35</v>
      </c>
      <c r="AL3" s="5" t="s">
        <v>36</v>
      </c>
      <c r="AM3" s="5" t="s">
        <v>37</v>
      </c>
    </row>
    <row r="4" spans="1:39" x14ac:dyDescent="0.25">
      <c r="A4" t="s">
        <v>143</v>
      </c>
      <c r="B4" s="37">
        <v>4000</v>
      </c>
      <c r="C4" s="38">
        <v>0.12</v>
      </c>
      <c r="D4" s="39" t="s">
        <v>144</v>
      </c>
      <c r="E4" s="7">
        <f>B4*POWER(1+C4,0)</f>
      </c>
      <c r="F4" s="7">
        <f>B4*POWER(1+C4,1)</f>
      </c>
      <c r="G4" s="7">
        <f>B4*POWER(1+C4,2)</f>
      </c>
      <c r="H4" s="7">
        <f>B4*POWER(1+C4,3)</f>
      </c>
      <c r="I4" s="7">
        <f>B4*POWER(1+C4,4)</f>
      </c>
      <c r="J4" s="7">
        <f>B4*POWER(1+C4,5)</f>
      </c>
      <c r="K4" s="7">
        <f>B4*POWER(1+C4,6)</f>
      </c>
      <c r="L4" s="7">
        <f>B4*POWER(1+C4,7)</f>
      </c>
      <c r="M4" s="7">
        <f>B4*POWER(1+C4,8)</f>
      </c>
      <c r="N4" s="7">
        <f>B4*POWER(1+C4,9)</f>
      </c>
      <c r="O4" s="7">
        <f>B4*POWER(1+C4,10)</f>
      </c>
      <c r="P4" s="7">
        <f>B4*POWER(1+C4,11)</f>
      </c>
      <c r="Q4" s="7">
        <f>B4*POWER(1+C4,12)</f>
      </c>
      <c r="R4" s="7">
        <f>B4*POWER(1+C4,13)</f>
      </c>
      <c r="S4" s="7">
        <f>B4*POWER(1+C4,14)</f>
      </c>
      <c r="T4" s="7">
        <f>B4*POWER(1+C4,15)</f>
      </c>
      <c r="U4" s="7">
        <f>B4*POWER(1+C4,16)</f>
      </c>
      <c r="V4" s="7">
        <f>B4*POWER(1+C4,17)</f>
      </c>
      <c r="W4" s="7">
        <f>B4*POWER(1+C4,18)</f>
      </c>
      <c r="X4" s="7">
        <f>B4*POWER(1+C4,19)</f>
      </c>
      <c r="Y4" s="7">
        <f>B4*POWER(1+C4,20)</f>
      </c>
      <c r="Z4" s="7">
        <f>B4*POWER(1+C4,21)</f>
      </c>
      <c r="AA4" s="7">
        <f>B4*POWER(1+C4,22)</f>
      </c>
      <c r="AB4" s="7">
        <f>B4*POWER(1+C4,23)</f>
      </c>
      <c r="AC4" s="7">
        <f>SUM(E4:G4)</f>
      </c>
      <c r="AD4" s="7">
        <f>SUM(H4:J4)</f>
      </c>
      <c r="AE4" s="7">
        <f>SUM(K4:M4)</f>
      </c>
      <c r="AF4" s="7">
        <f>SUM(N4:P4)</f>
      </c>
      <c r="AG4" s="31">
        <f>SUM(AC4:AF4)</f>
      </c>
      <c r="AH4" s="7">
        <f>SUM(Q4:S4)</f>
      </c>
      <c r="AI4" s="7">
        <f>SUM(T4:V4)</f>
      </c>
      <c r="AJ4" s="7">
        <f>SUM(W4:Y4)</f>
      </c>
      <c r="AK4" s="7">
        <f>SUM(Z4:AB4)</f>
      </c>
      <c r="AL4" s="31">
        <f>SUM(AH4:AK4)</f>
      </c>
      <c r="AM4" s="32">
        <f>AG4+AL4</f>
      </c>
    </row>
    <row r="5" spans="1:39" x14ac:dyDescent="0.25">
      <c r="A5" t="s">
        <v>145</v>
      </c>
      <c r="B5" s="37">
        <v>1500</v>
      </c>
      <c r="C5" s="38">
        <v>0.03</v>
      </c>
      <c r="D5" s="39" t="s">
        <v>146</v>
      </c>
      <c r="E5" s="7">
        <f>B5*POWER(1+C5,0)</f>
      </c>
      <c r="F5" s="7">
        <f>B5*POWER(1+C5,1)</f>
      </c>
      <c r="G5" s="7">
        <f>B5*POWER(1+C5,2)</f>
      </c>
      <c r="H5" s="7">
        <f>B5*POWER(1+C5,3)</f>
      </c>
      <c r="I5" s="7">
        <f>B5*POWER(1+C5,4)</f>
      </c>
      <c r="J5" s="7">
        <f>B5*POWER(1+C5,5)</f>
      </c>
      <c r="K5" s="7">
        <f>B5*POWER(1+C5,6)</f>
      </c>
      <c r="L5" s="7">
        <f>B5*POWER(1+C5,7)</f>
      </c>
      <c r="M5" s="7">
        <f>B5*POWER(1+C5,8)</f>
      </c>
      <c r="N5" s="7">
        <f>B5*POWER(1+C5,9)</f>
      </c>
      <c r="O5" s="7">
        <f>B5*POWER(1+C5,10)</f>
      </c>
      <c r="P5" s="7">
        <f>B5*POWER(1+C5,11)</f>
      </c>
      <c r="Q5" s="7">
        <f>B5*POWER(1+C5,12)</f>
      </c>
      <c r="R5" s="7">
        <f>B5*POWER(1+C5,13)</f>
      </c>
      <c r="S5" s="7">
        <f>B5*POWER(1+C5,14)</f>
      </c>
      <c r="T5" s="7">
        <f>B5*POWER(1+C5,15)</f>
      </c>
      <c r="U5" s="7">
        <f>B5*POWER(1+C5,16)</f>
      </c>
      <c r="V5" s="7">
        <f>B5*POWER(1+C5,17)</f>
      </c>
      <c r="W5" s="7">
        <f>B5*POWER(1+C5,18)</f>
      </c>
      <c r="X5" s="7">
        <f>B5*POWER(1+C5,19)</f>
      </c>
      <c r="Y5" s="7">
        <f>B5*POWER(1+C5,20)</f>
      </c>
      <c r="Z5" s="7">
        <f>B5*POWER(1+C5,21)</f>
      </c>
      <c r="AA5" s="7">
        <f>B5*POWER(1+C5,22)</f>
      </c>
      <c r="AB5" s="7">
        <f>B5*POWER(1+C5,23)</f>
      </c>
      <c r="AC5" s="7">
        <f>SUM(E5:G5)</f>
      </c>
      <c r="AD5" s="7">
        <f>SUM(H5:J5)</f>
      </c>
      <c r="AE5" s="7">
        <f>SUM(K5:M5)</f>
      </c>
      <c r="AF5" s="7">
        <f>SUM(N5:P5)</f>
      </c>
      <c r="AG5" s="31">
        <f>SUM(AC5:AF5)</f>
      </c>
      <c r="AH5" s="7">
        <f>SUM(Q5:S5)</f>
      </c>
      <c r="AI5" s="7">
        <f>SUM(T5:V5)</f>
      </c>
      <c r="AJ5" s="7">
        <f>SUM(W5:Y5)</f>
      </c>
      <c r="AK5" s="7">
        <f>SUM(Z5:AB5)</f>
      </c>
      <c r="AL5" s="31">
        <f>SUM(AH5:AK5)</f>
      </c>
      <c r="AM5" s="32">
        <f>AG5+AL5</f>
      </c>
    </row>
    <row r="6" spans="1:39" x14ac:dyDescent="0.25">
      <c r="A6" t="s">
        <v>147</v>
      </c>
      <c r="B6" s="37">
        <v>2000</v>
      </c>
      <c r="C6" s="38">
        <v>0.08</v>
      </c>
      <c r="D6" s="39" t="s">
        <v>148</v>
      </c>
      <c r="E6" s="7">
        <f>B6*POWER(1+C6,0)</f>
      </c>
      <c r="F6" s="7">
        <f>B6*POWER(1+C6,1)</f>
      </c>
      <c r="G6" s="7">
        <f>B6*POWER(1+C6,2)</f>
      </c>
      <c r="H6" s="7">
        <f>B6*POWER(1+C6,3)</f>
      </c>
      <c r="I6" s="7">
        <f>B6*POWER(1+C6,4)</f>
      </c>
      <c r="J6" s="7">
        <f>B6*POWER(1+C6,5)</f>
      </c>
      <c r="K6" s="7">
        <f>B6*POWER(1+C6,6)</f>
      </c>
      <c r="L6" s="7">
        <f>B6*POWER(1+C6,7)</f>
      </c>
      <c r="M6" s="7">
        <f>B6*POWER(1+C6,8)</f>
      </c>
      <c r="N6" s="7">
        <f>B6*POWER(1+C6,9)</f>
      </c>
      <c r="O6" s="7">
        <f>B6*POWER(1+C6,10)</f>
      </c>
      <c r="P6" s="7">
        <f>B6*POWER(1+C6,11)</f>
      </c>
      <c r="Q6" s="7">
        <f>B6*POWER(1+C6,12)</f>
      </c>
      <c r="R6" s="7">
        <f>B6*POWER(1+C6,13)</f>
      </c>
      <c r="S6" s="7">
        <f>B6*POWER(1+C6,14)</f>
      </c>
      <c r="T6" s="7">
        <f>B6*POWER(1+C6,15)</f>
      </c>
      <c r="U6" s="7">
        <f>B6*POWER(1+C6,16)</f>
      </c>
      <c r="V6" s="7">
        <f>B6*POWER(1+C6,17)</f>
      </c>
      <c r="W6" s="7">
        <f>B6*POWER(1+C6,18)</f>
      </c>
      <c r="X6" s="7">
        <f>B6*POWER(1+C6,19)</f>
      </c>
      <c r="Y6" s="7">
        <f>B6*POWER(1+C6,20)</f>
      </c>
      <c r="Z6" s="7">
        <f>B6*POWER(1+C6,21)</f>
      </c>
      <c r="AA6" s="7">
        <f>B6*POWER(1+C6,22)</f>
      </c>
      <c r="AB6" s="7">
        <f>B6*POWER(1+C6,23)</f>
      </c>
      <c r="AC6" s="7">
        <f>SUM(E6:G6)</f>
      </c>
      <c r="AD6" s="7">
        <f>SUM(H6:J6)</f>
      </c>
      <c r="AE6" s="7">
        <f>SUM(K6:M6)</f>
      </c>
      <c r="AF6" s="7">
        <f>SUM(N6:P6)</f>
      </c>
      <c r="AG6" s="31">
        <f>SUM(AC6:AF6)</f>
      </c>
      <c r="AH6" s="7">
        <f>SUM(Q6:S6)</f>
      </c>
      <c r="AI6" s="7">
        <f>SUM(T6:V6)</f>
      </c>
      <c r="AJ6" s="7">
        <f>SUM(W6:Y6)</f>
      </c>
      <c r="AK6" s="7">
        <f>SUM(Z6:AB6)</f>
      </c>
      <c r="AL6" s="31">
        <f>SUM(AH6:AK6)</f>
      </c>
      <c r="AM6" s="32">
        <f>AG6+AL6</f>
      </c>
    </row>
    <row r="7" spans="1:39" x14ac:dyDescent="0.25">
      <c r="A7" t="s">
        <v>149</v>
      </c>
      <c r="B7" s="37">
        <v>1000</v>
      </c>
      <c r="C7" s="38">
        <v>0.05</v>
      </c>
      <c r="D7" s="39" t="s">
        <v>150</v>
      </c>
      <c r="E7" s="7">
        <f>B7*POWER(1+C7,0)</f>
      </c>
      <c r="F7" s="7">
        <f>B7*POWER(1+C7,1)</f>
      </c>
      <c r="G7" s="7">
        <f>B7*POWER(1+C7,2)</f>
      </c>
      <c r="H7" s="7">
        <f>B7*POWER(1+C7,3)</f>
      </c>
      <c r="I7" s="7">
        <f>B7*POWER(1+C7,4)</f>
      </c>
      <c r="J7" s="7">
        <f>B7*POWER(1+C7,5)</f>
      </c>
      <c r="K7" s="7">
        <f>B7*POWER(1+C7,6)</f>
      </c>
      <c r="L7" s="7">
        <f>B7*POWER(1+C7,7)</f>
      </c>
      <c r="M7" s="7">
        <f>B7*POWER(1+C7,8)</f>
      </c>
      <c r="N7" s="7">
        <f>B7*POWER(1+C7,9)</f>
      </c>
      <c r="O7" s="7">
        <f>B7*POWER(1+C7,10)</f>
      </c>
      <c r="P7" s="7">
        <f>B7*POWER(1+C7,11)</f>
      </c>
      <c r="Q7" s="7">
        <f>B7*POWER(1+C7,12)</f>
      </c>
      <c r="R7" s="7">
        <f>B7*POWER(1+C7,13)</f>
      </c>
      <c r="S7" s="7">
        <f>B7*POWER(1+C7,14)</f>
      </c>
      <c r="T7" s="7">
        <f>B7*POWER(1+C7,15)</f>
      </c>
      <c r="U7" s="7">
        <f>B7*POWER(1+C7,16)</f>
      </c>
      <c r="V7" s="7">
        <f>B7*POWER(1+C7,17)</f>
      </c>
      <c r="W7" s="7">
        <f>B7*POWER(1+C7,18)</f>
      </c>
      <c r="X7" s="7">
        <f>B7*POWER(1+C7,19)</f>
      </c>
      <c r="Y7" s="7">
        <f>B7*POWER(1+C7,20)</f>
      </c>
      <c r="Z7" s="7">
        <f>B7*POWER(1+C7,21)</f>
      </c>
      <c r="AA7" s="7">
        <f>B7*POWER(1+C7,22)</f>
      </c>
      <c r="AB7" s="7">
        <f>B7*POWER(1+C7,23)</f>
      </c>
      <c r="AC7" s="7">
        <f>SUM(E7:G7)</f>
      </c>
      <c r="AD7" s="7">
        <f>SUM(H7:J7)</f>
      </c>
      <c r="AE7" s="7">
        <f>SUM(K7:M7)</f>
      </c>
      <c r="AF7" s="7">
        <f>SUM(N7:P7)</f>
      </c>
      <c r="AG7" s="31">
        <f>SUM(AC7:AF7)</f>
      </c>
      <c r="AH7" s="7">
        <f>SUM(Q7:S7)</f>
      </c>
      <c r="AI7" s="7">
        <f>SUM(T7:V7)</f>
      </c>
      <c r="AJ7" s="7">
        <f>SUM(W7:Y7)</f>
      </c>
      <c r="AK7" s="7">
        <f>SUM(Z7:AB7)</f>
      </c>
      <c r="AL7" s="31">
        <f>SUM(AH7:AK7)</f>
      </c>
      <c r="AM7" s="32">
        <f>AG7+AL7</f>
      </c>
    </row>
    <row r="8" spans="1:39" x14ac:dyDescent="0.25">
      <c r="A8" t="s">
        <v>151</v>
      </c>
      <c r="B8" s="37">
        <v>1500</v>
      </c>
      <c r="C8" s="38">
        <v>0.1</v>
      </c>
      <c r="D8" s="39" t="s">
        <v>152</v>
      </c>
      <c r="E8" s="7">
        <f>B8*POWER(1+C8,0)</f>
      </c>
      <c r="F8" s="7">
        <f>B8*POWER(1+C8,1)</f>
      </c>
      <c r="G8" s="7">
        <f>B8*POWER(1+C8,2)</f>
      </c>
      <c r="H8" s="7">
        <f>B8*POWER(1+C8,3)</f>
      </c>
      <c r="I8" s="7">
        <f>B8*POWER(1+C8,4)</f>
      </c>
      <c r="J8" s="7">
        <f>B8*POWER(1+C8,5)</f>
      </c>
      <c r="K8" s="7">
        <f>B8*POWER(1+C8,6)</f>
      </c>
      <c r="L8" s="7">
        <f>B8*POWER(1+C8,7)</f>
      </c>
      <c r="M8" s="7">
        <f>B8*POWER(1+C8,8)</f>
      </c>
      <c r="N8" s="7">
        <f>B8*POWER(1+C8,9)</f>
      </c>
      <c r="O8" s="7">
        <f>B8*POWER(1+C8,10)</f>
      </c>
      <c r="P8" s="7">
        <f>B8*POWER(1+C8,11)</f>
      </c>
      <c r="Q8" s="7">
        <f>B8*POWER(1+C8,12)</f>
      </c>
      <c r="R8" s="7">
        <f>B8*POWER(1+C8,13)</f>
      </c>
      <c r="S8" s="7">
        <f>B8*POWER(1+C8,14)</f>
      </c>
      <c r="T8" s="7">
        <f>B8*POWER(1+C8,15)</f>
      </c>
      <c r="U8" s="7">
        <f>B8*POWER(1+C8,16)</f>
      </c>
      <c r="V8" s="7">
        <f>B8*POWER(1+C8,17)</f>
      </c>
      <c r="W8" s="7">
        <f>B8*POWER(1+C8,18)</f>
      </c>
      <c r="X8" s="7">
        <f>B8*POWER(1+C8,19)</f>
      </c>
      <c r="Y8" s="7">
        <f>B8*POWER(1+C8,20)</f>
      </c>
      <c r="Z8" s="7">
        <f>B8*POWER(1+C8,21)</f>
      </c>
      <c r="AA8" s="7">
        <f>B8*POWER(1+C8,22)</f>
      </c>
      <c r="AB8" s="7">
        <f>B8*POWER(1+C8,23)</f>
      </c>
      <c r="AC8" s="7">
        <f>SUM(E8:G8)</f>
      </c>
      <c r="AD8" s="7">
        <f>SUM(H8:J8)</f>
      </c>
      <c r="AE8" s="7">
        <f>SUM(K8:M8)</f>
      </c>
      <c r="AF8" s="7">
        <f>SUM(N8:P8)</f>
      </c>
      <c r="AG8" s="31">
        <f>SUM(AC8:AF8)</f>
      </c>
      <c r="AH8" s="7">
        <f>SUM(Q8:S8)</f>
      </c>
      <c r="AI8" s="7">
        <f>SUM(T8:V8)</f>
      </c>
      <c r="AJ8" s="7">
        <f>SUM(W8:Y8)</f>
      </c>
      <c r="AK8" s="7">
        <f>SUM(Z8:AB8)</f>
      </c>
      <c r="AL8" s="31">
        <f>SUM(AH8:AK8)</f>
      </c>
      <c r="AM8" s="32">
        <f>AG8+AL8</f>
      </c>
    </row>
    <row r="9" spans="1:39" x14ac:dyDescent="0.25">
      <c r="A9" t="s">
        <v>153</v>
      </c>
      <c r="B9" s="37">
        <v>1000</v>
      </c>
      <c r="C9" s="38">
        <v>0.03</v>
      </c>
      <c r="D9" s="39" t="s">
        <v>154</v>
      </c>
      <c r="E9" s="7">
        <f>B9*POWER(1+C9,0)</f>
      </c>
      <c r="F9" s="7">
        <f>B9*POWER(1+C9,1)</f>
      </c>
      <c r="G9" s="7">
        <f>B9*POWER(1+C9,2)</f>
      </c>
      <c r="H9" s="7">
        <f>B9*POWER(1+C9,3)</f>
      </c>
      <c r="I9" s="7">
        <f>B9*POWER(1+C9,4)</f>
      </c>
      <c r="J9" s="7">
        <f>B9*POWER(1+C9,5)</f>
      </c>
      <c r="K9" s="7">
        <f>B9*POWER(1+C9,6)</f>
      </c>
      <c r="L9" s="7">
        <f>B9*POWER(1+C9,7)</f>
      </c>
      <c r="M9" s="7">
        <f>B9*POWER(1+C9,8)</f>
      </c>
      <c r="N9" s="7">
        <f>B9*POWER(1+C9,9)</f>
      </c>
      <c r="O9" s="7">
        <f>B9*POWER(1+C9,10)</f>
      </c>
      <c r="P9" s="7">
        <f>B9*POWER(1+C9,11)</f>
      </c>
      <c r="Q9" s="7">
        <f>B9*POWER(1+C9,12)</f>
      </c>
      <c r="R9" s="7">
        <f>B9*POWER(1+C9,13)</f>
      </c>
      <c r="S9" s="7">
        <f>B9*POWER(1+C9,14)</f>
      </c>
      <c r="T9" s="7">
        <f>B9*POWER(1+C9,15)</f>
      </c>
      <c r="U9" s="7">
        <f>B9*POWER(1+C9,16)</f>
      </c>
      <c r="V9" s="7">
        <f>B9*POWER(1+C9,17)</f>
      </c>
      <c r="W9" s="7">
        <f>B9*POWER(1+C9,18)</f>
      </c>
      <c r="X9" s="7">
        <f>B9*POWER(1+C9,19)</f>
      </c>
      <c r="Y9" s="7">
        <f>B9*POWER(1+C9,20)</f>
      </c>
      <c r="Z9" s="7">
        <f>B9*POWER(1+C9,21)</f>
      </c>
      <c r="AA9" s="7">
        <f>B9*POWER(1+C9,22)</f>
      </c>
      <c r="AB9" s="7">
        <f>B9*POWER(1+C9,23)</f>
      </c>
      <c r="AC9" s="7">
        <f>SUM(E9:G9)</f>
      </c>
      <c r="AD9" s="7">
        <f>SUM(H9:J9)</f>
      </c>
      <c r="AE9" s="7">
        <f>SUM(K9:M9)</f>
      </c>
      <c r="AF9" s="7">
        <f>SUM(N9:P9)</f>
      </c>
      <c r="AG9" s="31">
        <f>SUM(AC9:AF9)</f>
      </c>
      <c r="AH9" s="7">
        <f>SUM(Q9:S9)</f>
      </c>
      <c r="AI9" s="7">
        <f>SUM(T9:V9)</f>
      </c>
      <c r="AJ9" s="7">
        <f>SUM(W9:Y9)</f>
      </c>
      <c r="AK9" s="7">
        <f>SUM(Z9:AB9)</f>
      </c>
      <c r="AL9" s="31">
        <f>SUM(AH9:AK9)</f>
      </c>
      <c r="AM9" s="32">
        <f>AG9+AL9</f>
      </c>
    </row>
    <row r="10" spans="1:39" x14ac:dyDescent="0.25">
      <c r="A10" s="8" t="s">
        <v>155</v>
      </c>
      <c r="E10" s="40">
        <f>SUM(E4:E9)</f>
      </c>
      <c r="F10" s="40">
        <f>SUM(F4:F9)</f>
      </c>
      <c r="G10" s="40">
        <f>SUM(G4:G9)</f>
      </c>
      <c r="H10" s="40">
        <f>SUM(H4:H9)</f>
      </c>
      <c r="I10" s="40">
        <f>SUM(I4:I9)</f>
      </c>
      <c r="J10" s="40">
        <f>SUM(J4:J9)</f>
      </c>
      <c r="K10" s="40">
        <f>SUM(K4:K9)</f>
      </c>
      <c r="L10" s="40">
        <f>SUM(L4:L9)</f>
      </c>
      <c r="M10" s="40">
        <f>SUM(M4:M9)</f>
      </c>
      <c r="N10" s="40">
        <f>SUM(N4:N9)</f>
      </c>
      <c r="O10" s="40">
        <f>SUM(O4:O9)</f>
      </c>
      <c r="P10" s="40">
        <f>SUM(P4:P9)</f>
      </c>
      <c r="Q10" s="40">
        <f>SUM(Q4:Q9)</f>
      </c>
      <c r="R10" s="40">
        <f>SUM(R4:R9)</f>
      </c>
      <c r="S10" s="40">
        <f>SUM(S4:S9)</f>
      </c>
      <c r="T10" s="40">
        <f>SUM(T4:T9)</f>
      </c>
      <c r="U10" s="40">
        <f>SUM(U4:U9)</f>
      </c>
      <c r="V10" s="40">
        <f>SUM(V4:V9)</f>
      </c>
      <c r="W10" s="40">
        <f>SUM(W4:W9)</f>
      </c>
      <c r="X10" s="40">
        <f>SUM(X4:X9)</f>
      </c>
      <c r="Y10" s="40">
        <f>SUM(Y4:Y9)</f>
      </c>
      <c r="Z10" s="40">
        <f>SUM(Z4:Z9)</f>
      </c>
      <c r="AA10" s="40">
        <f>SUM(AA4:AA9)</f>
      </c>
      <c r="AB10" s="40">
        <f>SUM(AB4:AB9)</f>
      </c>
      <c r="AC10" s="40">
        <f>SUM(AC4:AC9)</f>
      </c>
      <c r="AD10" s="40">
        <f>SUM(AD4:AD9)</f>
      </c>
      <c r="AE10" s="40">
        <f>SUM(AE4:AE9)</f>
      </c>
      <c r="AF10" s="40">
        <f>SUM(AF4:AF9)</f>
      </c>
      <c r="AG10" s="40">
        <f>SUM(AG4:AG9)</f>
      </c>
      <c r="AH10" s="40">
        <f>SUM(AH4:AH9)</f>
      </c>
      <c r="AI10" s="40">
        <f>SUM(AI4:AI9)</f>
      </c>
      <c r="AJ10" s="40">
        <f>SUM(AJ4:AJ9)</f>
      </c>
      <c r="AK10" s="40">
        <f>SUM(AK4:AK9)</f>
      </c>
      <c r="AL10" s="40">
        <f>SUM(AL4:AL9)</f>
      </c>
      <c r="AM10" s="40">
        <f>SUM(AM4:AM9)</f>
      </c>
    </row>
    <row r="11" spans="1:39" x14ac:dyDescent="0.25">
      <c r="A11" s="10" t="s">
        <v>156</v>
      </c>
      <c r="E11" s="11">
        <f>E10</f>
      </c>
      <c r="F11" s="11">
        <f>E11+F10</f>
      </c>
      <c r="G11" s="11">
        <f>F11+G10</f>
      </c>
      <c r="H11" s="11">
        <f>G11+H10</f>
      </c>
      <c r="I11" s="11">
        <f>H11+I10</f>
      </c>
      <c r="J11" s="11">
        <f>I11+J10</f>
      </c>
      <c r="K11" s="11">
        <f>J11+K10</f>
      </c>
      <c r="L11" s="11">
        <f>K11+L10</f>
      </c>
      <c r="M11" s="11">
        <f>L11+M10</f>
      </c>
      <c r="N11" s="11">
        <f>M11+N10</f>
      </c>
      <c r="O11" s="11">
        <f>N11+O10</f>
      </c>
      <c r="P11" s="11">
        <f>O11+P10</f>
      </c>
      <c r="Q11" s="11">
        <f>P11+Q10</f>
      </c>
      <c r="R11" s="11">
        <f>Q11+R10</f>
      </c>
      <c r="S11" s="11">
        <f>R11+S10</f>
      </c>
      <c r="T11" s="11">
        <f>S11+T10</f>
      </c>
      <c r="U11" s="11">
        <f>T11+U10</f>
      </c>
      <c r="V11" s="11">
        <f>U11+V10</f>
      </c>
      <c r="W11" s="11">
        <f>V11+W10</f>
      </c>
      <c r="X11" s="11">
        <f>W11+X10</f>
      </c>
      <c r="Y11" s="11">
        <f>X11+Y10</f>
      </c>
      <c r="Z11" s="11">
        <f>Y11+Z10</f>
      </c>
      <c r="AA11" s="11">
        <f>Z11+AA10</f>
      </c>
      <c r="AB11" s="11">
        <f>AA11+AB10</f>
      </c>
      <c r="AC11" s="11">
        <f>G11</f>
      </c>
      <c r="AD11" s="11">
        <f>J11</f>
      </c>
      <c r="AE11" s="11">
        <f>M11</f>
      </c>
      <c r="AF11" s="11">
        <f>P11</f>
      </c>
      <c r="AG11" s="12">
        <f>AF11</f>
      </c>
      <c r="AH11" s="11">
        <f>S11</f>
      </c>
      <c r="AI11" s="11">
        <f>V11</f>
      </c>
      <c r="AJ11" s="11">
        <f>Y11</f>
      </c>
      <c r="AK11" s="11">
        <f>AB11</f>
      </c>
      <c r="AL11" s="12">
        <f>AK11</f>
      </c>
      <c r="AM11" s="12">
        <f>AB11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Executive Summary</vt:lpstr>
      <vt:lpstr>All Detail</vt:lpstr>
      <vt:lpstr>Headcount Detail</vt:lpstr>
      <vt:lpstr>Infrastructure Detail</vt:lpstr>
      <vt:lpstr>Go-to-Market Detail</vt:lpstr>
      <vt:lpstr>R&amp;D Detail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2025-11-11T23:01:29Z</dcterms:created>
  <dcterms:modified xsi:type="dcterms:W3CDTF">2025-11-11T23:01:29Z</dcterms:modified>
</cp:coreProperties>
</file>