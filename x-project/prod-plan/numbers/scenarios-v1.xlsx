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wkarp/devlocal/prod-miner-pm/x-project/bplan/numbers/"/>
    </mc:Choice>
  </mc:AlternateContent>
  <xr:revisionPtr revIDLastSave="0" documentId="13_ncr:1_{8563C93A-4250-7749-997C-C6568C218CEE}" xr6:coauthVersionLast="47" xr6:coauthVersionMax="47" xr10:uidLastSave="{00000000-0000-0000-0000-000000000000}"/>
  <bookViews>
    <workbookView xWindow="-3300" yWindow="-19440" windowWidth="26040" windowHeight="14940" xr2:uid="{1ACDCAF6-0540-8E41-86CE-6B373BA3F63D}"/>
  </bookViews>
  <sheets>
    <sheet name="Scenario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1" l="1"/>
  <c r="G23" i="1" s="1"/>
  <c r="D22" i="1"/>
  <c r="E21" i="1"/>
  <c r="E18" i="1" s="1"/>
  <c r="E19" i="1" s="1"/>
  <c r="D19" i="1"/>
  <c r="D18" i="1"/>
  <c r="F12" i="1"/>
  <c r="E12" i="1"/>
  <c r="E10" i="1"/>
  <c r="E6" i="1" s="1"/>
  <c r="D10" i="1"/>
  <c r="D6" i="1"/>
  <c r="D7" i="1" s="1"/>
  <c r="E8" i="1" l="1"/>
  <c r="E7" i="1"/>
  <c r="H23" i="1"/>
  <c r="H12" i="1" s="1"/>
  <c r="G12" i="1"/>
  <c r="F21" i="1"/>
  <c r="F18" i="1" l="1"/>
  <c r="F19" i="1" s="1"/>
  <c r="F10" i="1"/>
  <c r="F6" i="1" s="1"/>
  <c r="G21" i="1"/>
  <c r="F8" i="1" l="1"/>
  <c r="F7" i="1"/>
  <c r="G18" i="1"/>
  <c r="G19" i="1" s="1"/>
  <c r="G10" i="1"/>
  <c r="G6" i="1" s="1"/>
  <c r="H21" i="1"/>
  <c r="G8" i="1" l="1"/>
  <c r="G7" i="1"/>
  <c r="H10" i="1"/>
  <c r="H6" i="1" s="1"/>
  <c r="H18" i="1"/>
  <c r="H19" i="1" s="1"/>
  <c r="H7" i="1" l="1"/>
  <c r="H8" i="1"/>
</calcChain>
</file>

<file path=xl/sharedStrings.xml><?xml version="1.0" encoding="utf-8"?>
<sst xmlns="http://schemas.openxmlformats.org/spreadsheetml/2006/main" count="18" uniqueCount="13">
  <si>
    <t>Scenario #2: Growth Both</t>
  </si>
  <si>
    <t>EV Plan</t>
  </si>
  <si>
    <r>
      <rPr>
        <b/>
        <sz val="11"/>
        <color theme="1"/>
        <rFont val="Calibri"/>
        <family val="2"/>
        <scheme val="minor"/>
      </rPr>
      <t>Total</t>
    </r>
    <r>
      <rPr>
        <b/>
        <sz val="11"/>
        <color rgb="FF000000"/>
        <rFont val="Calibri"/>
        <family val="2"/>
        <scheme val="minor"/>
      </rPr>
      <t xml:space="preserve"> Forecasted EV</t>
    </r>
  </si>
  <si>
    <t>EV Multiple (trailing billings)</t>
  </si>
  <si>
    <t>EV Multipe from 2025</t>
  </si>
  <si>
    <t>AI Solutions</t>
  </si>
  <si>
    <t>EV Multiple</t>
  </si>
  <si>
    <t>Executive Agent</t>
  </si>
  <si>
    <t>Growth Plan</t>
  </si>
  <si>
    <t>Total ACV</t>
  </si>
  <si>
    <t>YoY Growth</t>
  </si>
  <si>
    <t>We're targeting customer success executives. The first one is an enterprise B2B SaaS company. I want to start building the inventory of the types of things that we would want to have in this agent so that it could really behave as the one who is looking out for and helping them.</t>
  </si>
  <si>
    <t xml:space="preserve">Here's just a quick unstructured brainstorm. Certainly it would be like the morning brief that would be there. We'd want to be spanning and looking at everything that happened in the last 24 hours in terms of customer case history. We'd also want to understand any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</si>
</sst>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_);\(#,##0.0\)"/>
    <numFmt numFmtId="165" formatCode="0.0"/>
    <numFmt numFmtId="166" formatCode="_(* #,##0_);_(* \(#,##0\);_(* &quot;-&quot;??_);_(@_)"/>
  </numFmts>
  <fonts count="10" x14ac:knownFonts="1">
    <font>
      <sz val="12"/>
      <color theme="1"/>
      <name val="Calibri"/>
      <family val="2"/>
      <scheme val="minor"/>
    </font>
    <font>
      <sz val="11"/>
      <color rgb="FF000000"/>
      <name val="Calibri"/>
      <family val="2"/>
      <scheme val="minor"/>
    </font>
    <font>
      <b/>
      <sz val="14"/>
      <color rgb="FF000000"/>
      <name val="Calibri"/>
      <family val="2"/>
      <scheme val="minor"/>
    </font>
    <font>
      <b/>
      <sz val="11"/>
      <color theme="0"/>
      <name val="Calibri"/>
      <family val="2"/>
      <scheme val="minor"/>
    </font>
    <font>
      <b/>
      <sz val="11"/>
      <color rgb="FF000000"/>
      <name val="Calibri"/>
      <family val="2"/>
      <scheme val="minor"/>
    </font>
    <font>
      <b/>
      <sz val="11"/>
      <color theme="1"/>
      <name val="Calibri"/>
      <family val="2"/>
      <scheme val="minor"/>
    </font>
    <font>
      <sz val="11"/>
      <color theme="1"/>
      <name val="Calibri"/>
      <family val="2"/>
      <scheme val="minor"/>
    </font>
    <font>
      <b/>
      <sz val="11"/>
      <color rgb="FF00B0F0"/>
      <name val="Calibri (Body)"/>
    </font>
    <font>
      <b/>
      <sz val="11"/>
      <color rgb="FFD44015"/>
      <name val="Calibri"/>
      <family val="2"/>
      <scheme val="minor"/>
    </font>
    <font>
      <b/>
      <sz val="11"/>
      <color rgb="FF00B0F0"/>
      <name val="Calibri"/>
      <family val="2"/>
      <scheme val="minor"/>
    </font>
  </fonts>
  <fills count="4">
    <fill>
      <patternFill patternType="none"/>
    </fill>
    <fill>
      <patternFill patternType="gray125"/>
    </fill>
    <fill>
      <patternFill patternType="solid">
        <fgColor theme="0" tint="-0.499984740745262"/>
        <bgColor indexed="64"/>
      </patternFill>
    </fill>
    <fill>
      <patternFill patternType="solid">
        <fgColor theme="1"/>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4">
    <xf numFmtId="0" fontId="0" fillId="0" borderId="0"/>
    <xf numFmtId="43" fontId="6" fillId="0" borderId="0" applyFont="0" applyFill="0" applyBorder="0" applyAlignment="0" applyProtection="0"/>
    <xf numFmtId="9" fontId="6" fillId="0" borderId="0" applyFont="0" applyFill="0" applyBorder="0" applyAlignment="0" applyProtection="0"/>
    <xf numFmtId="0" fontId="1" fillId="0" borderId="0"/>
  </cellStyleXfs>
  <cellXfs count="33">
    <xf numFmtId="0" fontId="0" fillId="0" borderId="0" xfId="0"/>
    <xf numFmtId="0" fontId="2" fillId="0" borderId="0" xfId="3" applyFont="1"/>
    <xf numFmtId="0" fontId="1" fillId="0" borderId="0" xfId="3"/>
    <xf numFmtId="0" fontId="2" fillId="0" borderId="0" xfId="3" applyFont="1" applyAlignment="1">
      <alignment horizontal="left" vertical="center"/>
    </xf>
    <xf numFmtId="37" fontId="1" fillId="0" borderId="0" xfId="3" applyNumberFormat="1" applyAlignment="1">
      <alignment horizontal="center" vertical="center"/>
    </xf>
    <xf numFmtId="0" fontId="1" fillId="0" borderId="0" xfId="3" applyAlignment="1">
      <alignment vertical="center"/>
    </xf>
    <xf numFmtId="0" fontId="1" fillId="0" borderId="0" xfId="3" applyAlignment="1">
      <alignment horizontal="right" vertical="center"/>
    </xf>
    <xf numFmtId="0" fontId="3" fillId="2" borderId="1" xfId="3" applyFont="1" applyFill="1" applyBorder="1" applyAlignment="1">
      <alignment horizontal="center" vertical="center"/>
    </xf>
    <xf numFmtId="0" fontId="3" fillId="3" borderId="1" xfId="3" applyFont="1" applyFill="1" applyBorder="1" applyAlignment="1">
      <alignment horizontal="center" vertical="center"/>
    </xf>
    <xf numFmtId="0" fontId="4" fillId="0" borderId="2" xfId="3" applyFont="1" applyBorder="1" applyAlignment="1">
      <alignment horizontal="right" vertical="center" indent="1"/>
    </xf>
    <xf numFmtId="164" fontId="4" fillId="0" borderId="2" xfId="3" applyNumberFormat="1" applyFont="1" applyBorder="1" applyAlignment="1">
      <alignment horizontal="center" vertical="center"/>
    </xf>
    <xf numFmtId="37" fontId="4" fillId="0" borderId="2" xfId="3" applyNumberFormat="1" applyFont="1" applyBorder="1" applyAlignment="1">
      <alignment horizontal="center" vertical="center"/>
    </xf>
    <xf numFmtId="0" fontId="1" fillId="0" borderId="3" xfId="3" applyBorder="1" applyAlignment="1">
      <alignment horizontal="right" vertical="center" indent="1"/>
    </xf>
    <xf numFmtId="164" fontId="1" fillId="0" borderId="3" xfId="3" applyNumberFormat="1" applyBorder="1" applyAlignment="1">
      <alignment horizontal="center" vertical="center"/>
    </xf>
    <xf numFmtId="0" fontId="1" fillId="0" borderId="4" xfId="3" applyBorder="1" applyAlignment="1">
      <alignment horizontal="right" vertical="center" indent="1"/>
    </xf>
    <xf numFmtId="9" fontId="1" fillId="0" borderId="4" xfId="2" applyFont="1" applyBorder="1" applyAlignment="1">
      <alignment horizontal="center" vertical="center"/>
    </xf>
    <xf numFmtId="165" fontId="1" fillId="0" borderId="4" xfId="1" applyNumberFormat="1" applyFont="1" applyBorder="1" applyAlignment="1">
      <alignment horizontal="center" vertical="center"/>
    </xf>
    <xf numFmtId="0" fontId="1" fillId="0" borderId="0" xfId="3" applyAlignment="1">
      <alignment horizontal="right" vertical="center" indent="1"/>
    </xf>
    <xf numFmtId="9" fontId="1" fillId="0" borderId="0" xfId="2" applyFont="1" applyAlignment="1">
      <alignment horizontal="center" vertical="center"/>
    </xf>
    <xf numFmtId="0" fontId="7" fillId="0" borderId="2" xfId="3" applyFont="1" applyBorder="1" applyAlignment="1">
      <alignment horizontal="right" vertical="center" indent="1"/>
    </xf>
    <xf numFmtId="165" fontId="4" fillId="0" borderId="5" xfId="3" applyNumberFormat="1" applyFont="1" applyBorder="1" applyAlignment="1">
      <alignment horizontal="center" vertical="center"/>
    </xf>
    <xf numFmtId="165" fontId="4" fillId="0" borderId="2" xfId="3" applyNumberFormat="1" applyFont="1" applyBorder="1" applyAlignment="1">
      <alignment horizontal="center" vertical="center"/>
    </xf>
    <xf numFmtId="4" fontId="1" fillId="0" borderId="6" xfId="3" applyNumberFormat="1" applyBorder="1" applyAlignment="1">
      <alignment horizontal="center" vertical="center"/>
    </xf>
    <xf numFmtId="4" fontId="1" fillId="0" borderId="4" xfId="3" applyNumberFormat="1" applyBorder="1" applyAlignment="1">
      <alignment horizontal="center" vertical="center"/>
    </xf>
    <xf numFmtId="0" fontId="8" fillId="0" borderId="2" xfId="3" applyFont="1" applyBorder="1" applyAlignment="1">
      <alignment horizontal="right" vertical="center" indent="1"/>
    </xf>
    <xf numFmtId="165" fontId="1" fillId="0" borderId="0" xfId="3" applyNumberFormat="1" applyAlignment="1">
      <alignment vertical="center"/>
    </xf>
    <xf numFmtId="9" fontId="1" fillId="0" borderId="0" xfId="3" applyNumberFormat="1" applyAlignment="1">
      <alignment vertical="center"/>
    </xf>
    <xf numFmtId="0" fontId="5" fillId="0" borderId="2" xfId="3" applyFont="1" applyBorder="1" applyAlignment="1">
      <alignment horizontal="right" vertical="center" indent="1"/>
    </xf>
    <xf numFmtId="0" fontId="4" fillId="0" borderId="4" xfId="3" applyFont="1" applyBorder="1" applyAlignment="1">
      <alignment horizontal="right" vertical="center" indent="1"/>
    </xf>
    <xf numFmtId="0" fontId="9" fillId="0" borderId="2" xfId="3" applyFont="1" applyBorder="1" applyAlignment="1">
      <alignment horizontal="right" vertical="center" indent="1"/>
    </xf>
    <xf numFmtId="9" fontId="1" fillId="0" borderId="3" xfId="3" applyNumberFormat="1" applyBorder="1" applyAlignment="1">
      <alignment horizontal="center" vertical="center"/>
    </xf>
    <xf numFmtId="9" fontId="1" fillId="0" borderId="4" xfId="3" applyNumberFormat="1" applyBorder="1" applyAlignment="1">
      <alignment horizontal="center" vertical="center"/>
    </xf>
    <xf numFmtId="166" fontId="1" fillId="0" borderId="0" xfId="1" applyNumberFormat="1" applyFont="1"/>
  </cellXfs>
  <cellStyles count="4">
    <cellStyle name="Comma" xfId="1" builtinId="3"/>
    <cellStyle name="Normal" xfId="0" builtinId="0"/>
    <cellStyle name="Normal 2" xfId="3" xr:uid="{49255751-F760-F64D-906F-A834D0146D2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6BF06-1E23-7446-A6B3-DF0B88AAAB5F}">
  <dimension ref="C2:H26"/>
  <sheetViews>
    <sheetView showGridLines="0" tabSelected="1" zoomScale="150" zoomScaleNormal="150" workbookViewId="0">
      <selection activeCell="A3" sqref="A3"/>
    </sheetView>
  </sheetViews>
  <sheetFormatPr baseColWidth="10" defaultColWidth="11.5" defaultRowHeight="15" x14ac:dyDescent="0.2"/>
  <cols>
    <col min="1" max="1" width="7.1640625" style="2" customWidth="1"/>
    <col min="2" max="2" width="5.5" style="2" customWidth="1"/>
    <col min="3" max="3" width="26.1640625" style="2" customWidth="1"/>
    <col min="4" max="8" width="7.33203125" style="2" customWidth="1"/>
    <col min="9" max="16384" width="11.5" style="2"/>
  </cols>
  <sheetData>
    <row r="2" spans="3:8" ht="19" x14ac:dyDescent="0.25">
      <c r="C2" s="1" t="s">
        <v>0</v>
      </c>
    </row>
    <row r="4" spans="3:8" s="5" customFormat="1" ht="22.25" customHeight="1" thickBot="1" x14ac:dyDescent="0.25">
      <c r="C4" s="3" t="s">
        <v>1</v>
      </c>
      <c r="D4" s="4"/>
      <c r="E4" s="4"/>
      <c r="F4" s="4"/>
      <c r="G4" s="4"/>
      <c r="H4" s="4"/>
    </row>
    <row r="5" spans="3:8" s="5" customFormat="1" ht="18.5" customHeight="1" thickBot="1" x14ac:dyDescent="0.25">
      <c r="C5" s="6"/>
      <c r="D5" s="7">
        <v>2025</v>
      </c>
      <c r="E5" s="8">
        <v>2026</v>
      </c>
      <c r="F5" s="8">
        <v>2027</v>
      </c>
      <c r="G5" s="8">
        <v>2028</v>
      </c>
      <c r="H5" s="8">
        <v>2029</v>
      </c>
    </row>
    <row r="6" spans="3:8" s="5" customFormat="1" ht="17" customHeight="1" x14ac:dyDescent="0.2">
      <c r="C6" s="9" t="s">
        <v>2</v>
      </c>
      <c r="D6" s="10">
        <f>SUM(D10,D12)</f>
        <v>17.825000000000003</v>
      </c>
      <c r="E6" s="11">
        <f>SUM(E10,E12)</f>
        <v>26.672500000000003</v>
      </c>
      <c r="F6" s="11">
        <f>SUM(F10,F12)</f>
        <v>71.674250000000001</v>
      </c>
      <c r="G6" s="11">
        <f>SUM(G10,G12)</f>
        <v>278.17652500000003</v>
      </c>
      <c r="H6" s="11">
        <f>SUM(H10,H12)</f>
        <v>1035.22065625</v>
      </c>
    </row>
    <row r="7" spans="3:8" s="5" customFormat="1" ht="17" customHeight="1" x14ac:dyDescent="0.2">
      <c r="C7" s="12" t="s">
        <v>3</v>
      </c>
      <c r="D7" s="13">
        <f>D6/D18</f>
        <v>4.1695906432748542</v>
      </c>
      <c r="E7" s="13">
        <f>E6/E18</f>
        <v>4.0674799847502854</v>
      </c>
      <c r="F7" s="13">
        <f>F6/F18</f>
        <v>5.8630442340334161</v>
      </c>
      <c r="G7" s="13">
        <f>G6/G18</f>
        <v>8.0883667578453533</v>
      </c>
      <c r="H7" s="13">
        <f>H6/H18</f>
        <v>9.2645304245030395</v>
      </c>
    </row>
    <row r="8" spans="3:8" s="5" customFormat="1" ht="17" customHeight="1" thickBot="1" x14ac:dyDescent="0.25">
      <c r="C8" s="14" t="s">
        <v>4</v>
      </c>
      <c r="D8" s="15"/>
      <c r="E8" s="16">
        <f>(E6/$D6)</f>
        <v>1.4963534361851332</v>
      </c>
      <c r="F8" s="16">
        <f t="shared" ref="F8:H8" si="0">(F6/$D6)</f>
        <v>4.0209957924263673</v>
      </c>
      <c r="G8" s="16">
        <f t="shared" si="0"/>
        <v>15.605976157082749</v>
      </c>
      <c r="H8" s="16">
        <f t="shared" si="0"/>
        <v>58.076895161290317</v>
      </c>
    </row>
    <row r="9" spans="3:8" s="5" customFormat="1" ht="12" customHeight="1" thickBot="1" x14ac:dyDescent="0.25">
      <c r="C9" s="17"/>
      <c r="D9" s="18"/>
      <c r="E9" s="18"/>
      <c r="F9" s="18"/>
      <c r="G9" s="18"/>
      <c r="H9" s="18"/>
    </row>
    <row r="10" spans="3:8" s="5" customFormat="1" ht="21" customHeight="1" x14ac:dyDescent="0.2">
      <c r="C10" s="19" t="s">
        <v>5</v>
      </c>
      <c r="D10" s="20">
        <f>D21*D11</f>
        <v>12.825000000000001</v>
      </c>
      <c r="E10" s="20">
        <f>E21*E11</f>
        <v>16.672500000000003</v>
      </c>
      <c r="F10" s="21">
        <f>F21*F11</f>
        <v>21.674250000000004</v>
      </c>
      <c r="G10" s="21">
        <f>G21*G11</f>
        <v>28.176525000000005</v>
      </c>
      <c r="H10" s="21">
        <f>H21*H11</f>
        <v>35.220656250000005</v>
      </c>
    </row>
    <row r="11" spans="3:8" ht="21" customHeight="1" thickBot="1" x14ac:dyDescent="0.25">
      <c r="C11" s="14" t="s">
        <v>6</v>
      </c>
      <c r="D11" s="22">
        <v>3</v>
      </c>
      <c r="E11" s="22">
        <v>3</v>
      </c>
      <c r="F11" s="23">
        <v>3</v>
      </c>
      <c r="G11" s="23">
        <v>3</v>
      </c>
      <c r="H11" s="23">
        <v>3</v>
      </c>
    </row>
    <row r="12" spans="3:8" ht="21" customHeight="1" x14ac:dyDescent="0.2">
      <c r="C12" s="24" t="s">
        <v>7</v>
      </c>
      <c r="D12" s="20">
        <v>5</v>
      </c>
      <c r="E12" s="20">
        <f>E13*E23</f>
        <v>10</v>
      </c>
      <c r="F12" s="20">
        <f>F13*F23</f>
        <v>50</v>
      </c>
      <c r="G12" s="20">
        <f>G13*G23</f>
        <v>250</v>
      </c>
      <c r="H12" s="21">
        <f>H13*H23</f>
        <v>1000</v>
      </c>
    </row>
    <row r="13" spans="3:8" ht="21" customHeight="1" thickBot="1" x14ac:dyDescent="0.25">
      <c r="C13" s="14" t="s">
        <v>6</v>
      </c>
      <c r="D13" s="22"/>
      <c r="E13" s="22">
        <v>10</v>
      </c>
      <c r="F13" s="22">
        <v>10</v>
      </c>
      <c r="G13" s="22">
        <v>10</v>
      </c>
      <c r="H13" s="23">
        <v>10</v>
      </c>
    </row>
    <row r="14" spans="3:8" x14ac:dyDescent="0.2">
      <c r="D14" s="25"/>
      <c r="E14" s="25"/>
      <c r="F14" s="25"/>
      <c r="G14" s="25"/>
      <c r="H14" s="25"/>
    </row>
    <row r="15" spans="3:8" x14ac:dyDescent="0.2">
      <c r="D15" s="26"/>
      <c r="E15" s="26"/>
      <c r="F15" s="26"/>
      <c r="G15" s="26"/>
      <c r="H15" s="26"/>
    </row>
    <row r="16" spans="3:8" s="5" customFormat="1" ht="22.25" customHeight="1" thickBot="1" x14ac:dyDescent="0.25">
      <c r="C16" s="3" t="s">
        <v>8</v>
      </c>
      <c r="D16" s="4"/>
      <c r="E16" s="4"/>
      <c r="F16" s="4"/>
      <c r="G16" s="4"/>
      <c r="H16" s="4"/>
    </row>
    <row r="17" spans="3:8" s="5" customFormat="1" ht="16" customHeight="1" thickBot="1" x14ac:dyDescent="0.25">
      <c r="C17" s="6"/>
      <c r="D17" s="7">
        <v>2025</v>
      </c>
      <c r="E17" s="8">
        <v>2026</v>
      </c>
      <c r="F17" s="8">
        <v>2027</v>
      </c>
      <c r="G17" s="8">
        <v>2028</v>
      </c>
      <c r="H17" s="8">
        <v>2029</v>
      </c>
    </row>
    <row r="18" spans="3:8" s="5" customFormat="1" ht="20" customHeight="1" x14ac:dyDescent="0.2">
      <c r="C18" s="27" t="s">
        <v>9</v>
      </c>
      <c r="D18" s="10">
        <f t="shared" ref="D18:H18" si="1">D21+D23</f>
        <v>4.2750000000000004</v>
      </c>
      <c r="E18" s="10">
        <f t="shared" si="1"/>
        <v>6.557500000000001</v>
      </c>
      <c r="F18" s="11">
        <f t="shared" si="1"/>
        <v>12.22475</v>
      </c>
      <c r="G18" s="11">
        <f t="shared" si="1"/>
        <v>34.392175000000002</v>
      </c>
      <c r="H18" s="11">
        <f t="shared" si="1"/>
        <v>111.74021875</v>
      </c>
    </row>
    <row r="19" spans="3:8" s="5" customFormat="1" ht="20" customHeight="1" thickBot="1" x14ac:dyDescent="0.25">
      <c r="C19" s="28" t="s">
        <v>10</v>
      </c>
      <c r="D19" s="15">
        <f>(D18/4)-1</f>
        <v>6.8750000000000089E-2</v>
      </c>
      <c r="E19" s="15">
        <f>(E18/D18)-1</f>
        <v>0.53391812865497079</v>
      </c>
      <c r="F19" s="15">
        <f>(F18/E18)-1</f>
        <v>0.86423942051086522</v>
      </c>
      <c r="G19" s="15">
        <f>(G18/F18)-1</f>
        <v>1.8133233808462341</v>
      </c>
      <c r="H19" s="15">
        <f>(H18/G18)-1</f>
        <v>2.2490012262963885</v>
      </c>
    </row>
    <row r="20" spans="3:8" s="5" customFormat="1" ht="12" customHeight="1" thickBot="1" x14ac:dyDescent="0.25">
      <c r="C20" s="17"/>
      <c r="D20" s="18"/>
      <c r="E20" s="18"/>
      <c r="F20" s="18"/>
      <c r="G20" s="18"/>
      <c r="H20" s="18"/>
    </row>
    <row r="21" spans="3:8" s="5" customFormat="1" ht="22" customHeight="1" x14ac:dyDescent="0.2">
      <c r="C21" s="29" t="s">
        <v>5</v>
      </c>
      <c r="D21" s="21">
        <v>4.2750000000000004</v>
      </c>
      <c r="E21" s="21">
        <f>D21*(1+E22)</f>
        <v>5.557500000000001</v>
      </c>
      <c r="F21" s="21">
        <f>E21*(1+F22)</f>
        <v>7.2247500000000011</v>
      </c>
      <c r="G21" s="21">
        <f>F21*(1+G22)</f>
        <v>9.3921750000000017</v>
      </c>
      <c r="H21" s="21">
        <f>G21*(1+H22)</f>
        <v>11.740218750000002</v>
      </c>
    </row>
    <row r="22" spans="3:8" ht="22" customHeight="1" thickBot="1" x14ac:dyDescent="0.25">
      <c r="C22" s="14" t="s">
        <v>10</v>
      </c>
      <c r="D22" s="15">
        <f>(D21/4)-1</f>
        <v>6.8750000000000089E-2</v>
      </c>
      <c r="E22" s="30">
        <v>0.3</v>
      </c>
      <c r="F22" s="30">
        <v>0.3</v>
      </c>
      <c r="G22" s="30">
        <v>0.3</v>
      </c>
      <c r="H22" s="30">
        <v>0.25</v>
      </c>
    </row>
    <row r="23" spans="3:8" ht="22" customHeight="1" x14ac:dyDescent="0.2">
      <c r="C23" s="24" t="s">
        <v>7</v>
      </c>
      <c r="D23" s="21"/>
      <c r="E23" s="21">
        <v>1</v>
      </c>
      <c r="F23" s="21">
        <f>E23*(1+F24)</f>
        <v>5</v>
      </c>
      <c r="G23" s="21">
        <f>F23*(1+G24)</f>
        <v>25</v>
      </c>
      <c r="H23" s="21">
        <f>G23*(1+H24)</f>
        <v>100</v>
      </c>
    </row>
    <row r="24" spans="3:8" ht="22" customHeight="1" thickBot="1" x14ac:dyDescent="0.25">
      <c r="C24" s="14" t="s">
        <v>10</v>
      </c>
      <c r="D24" s="15"/>
      <c r="E24" s="31"/>
      <c r="F24" s="31">
        <v>4</v>
      </c>
      <c r="G24" s="31">
        <v>4</v>
      </c>
      <c r="H24" s="31">
        <v>3</v>
      </c>
    </row>
    <row r="25" spans="3:8" x14ac:dyDescent="0.2">
      <c r="D25" s="26"/>
      <c r="E25" s="26"/>
      <c r="F25" s="26"/>
      <c r="G25" s="26"/>
      <c r="H25" s="26"/>
    </row>
    <row r="26" spans="3:8" x14ac:dyDescent="0.2">
      <c r="C26" s="3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Scenario2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Karpovich</dc:creator>
  <cp:lastModifiedBy>Bill Karpovich</cp:lastModifiedBy>
  <dcterms:created xsi:type="dcterms:W3CDTF">2026-01-10T18:02:24Z</dcterms:created>
  <dcterms:modified xsi:type="dcterms:W3CDTF">2026-01-10T18:27:49Z</dcterms:modified>
</cp:coreProperties>
</file>