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ath 1 - Lean" sheetId="2" state="visible" r:id="rId2"/>
    <sheet name="Path 2 - Liquidate" sheetId="3" state="visible" r:id="rId3"/>
    <sheet name="Path 3 - Growth Both" sheetId="4" state="visible" r:id="rId4"/>
    <sheet name="Path 4 - Strategic Leverage" sheetId="5" state="visible" r:id="rId5"/>
    <sheet name="EV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0000FF"/>
    </font>
    <font>
      <b val="1"/>
      <color rgb="00FFFFFF"/>
    </font>
    <font>
      <color rgb="000000FF"/>
    </font>
    <font>
      <i val="1"/>
      <color rgb="00808080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2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STRATEGIC PATH FINANCIAL MODEL - KEY ASSUMPTIONS</t>
        </is>
      </c>
    </row>
    <row r="2">
      <c r="A2" s="2" t="inlineStr">
        <is>
          <t>All blue cells are editable inputs</t>
        </is>
      </c>
    </row>
    <row r="4">
      <c r="A4" s="3" t="inlineStr">
        <is>
          <t>SERVICES BUSINESS ASSUMPTIONS</t>
        </is>
      </c>
    </row>
    <row r="5">
      <c r="A5" t="inlineStr">
        <is>
          <t>Current Annual Revenue</t>
        </is>
      </c>
      <c r="B5" s="4" t="n">
        <v>4000000</v>
      </c>
      <c r="C5" s="5" t="inlineStr">
        <is>
          <t>$ - Salesforce consulting</t>
        </is>
      </c>
    </row>
    <row r="6">
      <c r="A6" t="inlineStr">
        <is>
          <t>Current Headcount</t>
        </is>
      </c>
      <c r="B6" s="4" t="n">
        <v>25</v>
      </c>
      <c r="C6" s="5" t="inlineStr">
        <is>
          <t>FTEs</t>
        </is>
      </c>
    </row>
    <row r="7">
      <c r="A7" t="inlineStr">
        <is>
          <t>Revenue per Head</t>
        </is>
      </c>
      <c r="B7">
        <f>B5/B6</f>
        <v/>
      </c>
      <c r="C7" s="5" t="inlineStr">
        <is>
          <t>$ per FTE</t>
        </is>
      </c>
    </row>
    <row r="8">
      <c r="A8" t="inlineStr">
        <is>
          <t>Gross Margin %</t>
        </is>
      </c>
      <c r="B8" s="4" t="n">
        <v>0.45</v>
      </c>
      <c r="C8" s="5" t="inlineStr">
        <is>
          <t>% - typical for services</t>
        </is>
      </c>
    </row>
    <row r="9">
      <c r="A9" t="inlineStr">
        <is>
          <t>SG&amp;A % of Revenue</t>
        </is>
      </c>
      <c r="B9" s="4" t="n">
        <v>0.25</v>
      </c>
      <c r="C9" s="5" t="inlineStr">
        <is>
          <t>% - overhead</t>
        </is>
      </c>
    </row>
    <row r="10">
      <c r="A10" t="inlineStr">
        <is>
          <t>EBITDA Margin %</t>
        </is>
      </c>
      <c r="B10">
        <f>B8-B9</f>
        <v/>
      </c>
      <c r="C10" s="5" t="inlineStr">
        <is>
          <t>% - operating margin</t>
        </is>
      </c>
    </row>
    <row r="11">
      <c r="A11" t="inlineStr">
        <is>
          <t>Annual Growth (Optimized)</t>
        </is>
      </c>
      <c r="B11" s="4" t="n">
        <v>0.05</v>
      </c>
      <c r="C11" s="5" t="inlineStr">
        <is>
          <t>% - modest growth focus</t>
        </is>
      </c>
    </row>
    <row r="12">
      <c r="A12" t="inlineStr">
        <is>
          <t>Annual Growth (Lean)</t>
        </is>
      </c>
      <c r="B12" s="4" t="n">
        <v>-0.05</v>
      </c>
      <c r="C12" s="5" t="inlineStr">
        <is>
          <t>% - declining with underinvestment</t>
        </is>
      </c>
    </row>
    <row r="13">
      <c r="A13" t="inlineStr">
        <is>
          <t>Sale Multiple (Revenue)</t>
        </is>
      </c>
      <c r="B13" s="4" t="n">
        <v>2.5</v>
      </c>
      <c r="C13" s="5" t="inlineStr">
        <is>
          <t>x - conservative for $4M business</t>
        </is>
      </c>
    </row>
    <row r="14">
      <c r="A14" t="inlineStr">
        <is>
          <t>Sale Multiple (EBITDA)</t>
        </is>
      </c>
      <c r="B14" s="4" t="n">
        <v>12</v>
      </c>
      <c r="C14" s="5" t="inlineStr">
        <is>
          <t>x - IT consulting range</t>
        </is>
      </c>
    </row>
    <row r="15">
      <c r="A15" t="inlineStr">
        <is>
          <t>Cash at Close %</t>
        </is>
      </c>
      <c r="B15" s="4" t="n">
        <v>0.6</v>
      </c>
      <c r="C15" s="5" t="inlineStr">
        <is>
          <t>% - typical deal structure</t>
        </is>
      </c>
    </row>
    <row r="16">
      <c r="A16" t="inlineStr">
        <is>
          <t>Earnout Period (Years)</t>
        </is>
      </c>
      <c r="B16" s="4" t="n">
        <v>2</v>
      </c>
      <c r="C16" s="5" t="inlineStr">
        <is>
          <t>Years</t>
        </is>
      </c>
    </row>
    <row r="18">
      <c r="A18" s="3" t="inlineStr">
        <is>
          <t>PRODUCT BUSINESS ASSUMPTIONS (HELM)</t>
        </is>
      </c>
    </row>
    <row r="19">
      <c r="A19" t="inlineStr">
        <is>
          <t>Seed Round Size</t>
        </is>
      </c>
      <c r="B19" s="4" t="n">
        <v>3000000</v>
      </c>
      <c r="C19" s="5" t="inlineStr">
        <is>
          <t>$ - typical AI seed</t>
        </is>
      </c>
    </row>
    <row r="20">
      <c r="A20" t="inlineStr">
        <is>
          <t>Series A Size</t>
        </is>
      </c>
      <c r="B20" s="4" t="n">
        <v>10000000</v>
      </c>
      <c r="C20" s="5" t="inlineStr">
        <is>
          <t>$ - target Series A</t>
        </is>
      </c>
    </row>
    <row r="21">
      <c r="A21" t="inlineStr">
        <is>
          <t>Monthly Burn (Product)</t>
        </is>
      </c>
      <c r="B21" s="4" t="n">
        <v>200000</v>
      </c>
      <c r="C21" s="5" t="inlineStr">
        <is>
          <t>$ per month</t>
        </is>
      </c>
    </row>
    <row r="22">
      <c r="A22" t="inlineStr">
        <is>
          <t>Founder Ownership Post-Seed</t>
        </is>
      </c>
      <c r="B22" s="4" t="n">
        <v>0.7</v>
      </c>
      <c r="C22" s="5" t="inlineStr">
        <is>
          <t>% - after seed dilution</t>
        </is>
      </c>
    </row>
    <row r="23">
      <c r="A23" t="inlineStr">
        <is>
          <t>Founder Ownership Post-A</t>
        </is>
      </c>
      <c r="B23" s="4" t="n">
        <v>0.5</v>
      </c>
      <c r="C23" s="5" t="inlineStr">
        <is>
          <t>% - after Series A</t>
        </is>
      </c>
    </row>
    <row r="24">
      <c r="A24" t="inlineStr">
        <is>
          <t>Y1 Product Revenue</t>
        </is>
      </c>
      <c r="B24" s="4" t="n">
        <v>500000</v>
      </c>
      <c r="C24" s="5" t="inlineStr">
        <is>
          <t>$ - early customers</t>
        </is>
      </c>
    </row>
    <row r="25">
      <c r="A25" t="inlineStr">
        <is>
          <t>Y2 Product Revenue</t>
        </is>
      </c>
      <c r="B25" s="4" t="n">
        <v>3000000</v>
      </c>
      <c r="C25" s="5" t="inlineStr">
        <is>
          <t>$ - scaling</t>
        </is>
      </c>
    </row>
    <row r="26">
      <c r="A26" t="inlineStr">
        <is>
          <t>Y3 Product Revenue</t>
        </is>
      </c>
      <c r="B26" s="4" t="n">
        <v>12000000</v>
      </c>
      <c r="C26" s="5" t="inlineStr">
        <is>
          <t>$ - growth</t>
        </is>
      </c>
    </row>
    <row r="27">
      <c r="A27" t="inlineStr">
        <is>
          <t>Product Revenue Multiple</t>
        </is>
      </c>
      <c r="B27" s="4" t="n">
        <v>15</v>
      </c>
      <c r="C27" s="5" t="inlineStr">
        <is>
          <t>x - AI SaaS multiple</t>
        </is>
      </c>
    </row>
    <row r="28">
      <c r="A28" t="inlineStr">
        <is>
          <t>PMF Probability (Well-Funded)</t>
        </is>
      </c>
      <c r="B28" s="4" t="n">
        <v>0.6</v>
      </c>
      <c r="C28" s="5" t="inlineStr">
        <is>
          <t>% - success rate</t>
        </is>
      </c>
    </row>
    <row r="29">
      <c r="A29" t="inlineStr">
        <is>
          <t>PMF Probability (Underfunded)</t>
        </is>
      </c>
      <c r="B29" s="4" t="n">
        <v>0.3</v>
      </c>
      <c r="C29" s="5" t="inlineStr">
        <is>
          <t>% - lean success rate</t>
        </is>
      </c>
    </row>
    <row r="31">
      <c r="A31" s="3" t="inlineStr">
        <is>
          <t>SCENARIO PROBABILITIES</t>
        </is>
      </c>
    </row>
    <row r="32">
      <c r="A32" t="inlineStr">
        <is>
          <t>Helm Succeeds (Well-Funded)</t>
        </is>
      </c>
      <c r="B32" s="4" t="n">
        <v>0.6</v>
      </c>
      <c r="C32" t="inlineStr">
        <is>
          <t>%</t>
        </is>
      </c>
    </row>
    <row r="33">
      <c r="A33" t="inlineStr">
        <is>
          <t>Helm Struggles</t>
        </is>
      </c>
      <c r="B33" s="4" t="n">
        <v>0.25</v>
      </c>
      <c r="C33" t="inlineStr">
        <is>
          <t>%</t>
        </is>
      </c>
    </row>
    <row r="34">
      <c r="A34" t="inlineStr">
        <is>
          <t>Pivot/Different Opportunity</t>
        </is>
      </c>
      <c r="B34" s="4" t="n">
        <v>0.15</v>
      </c>
      <c r="C34" t="inlineStr">
        <is>
          <t>%</t>
        </is>
      </c>
    </row>
    <row r="35">
      <c r="A35" t="inlineStr">
        <is>
          <t>Total</t>
        </is>
      </c>
      <c r="B35">
        <f>SUM(B32:B34)</f>
        <v/>
      </c>
      <c r="C35" t="inlineStr">
        <is>
          <t>Must = 100%</t>
        </is>
      </c>
    </row>
  </sheetData>
  <mergeCells count="4">
    <mergeCell ref="A4:C4"/>
    <mergeCell ref="A31:C31"/>
    <mergeCell ref="A1:G1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PATH 1: LEAN</t>
        </is>
      </c>
    </row>
    <row r="2">
      <c r="A2" s="6" t="inlineStr">
        <is>
          <t>Services: lean, cash flow positive | Product: lean, modest investment</t>
        </is>
      </c>
    </row>
    <row r="4">
      <c r="A4" s="3" t="inlineStr">
        <is>
          <t>SERVICES PROJECTION</t>
        </is>
      </c>
    </row>
    <row r="5">
      <c r="A5" s="7" t="inlineStr"/>
      <c r="B5" s="7" t="inlineStr">
        <is>
          <t>Year 0</t>
        </is>
      </c>
      <c r="C5" s="7" t="inlineStr">
        <is>
          <t>Year 1</t>
        </is>
      </c>
      <c r="D5" s="7" t="inlineStr">
        <is>
          <t>Year 2</t>
        </is>
      </c>
      <c r="E5" s="7" t="inlineStr">
        <is>
          <t>Year 3</t>
        </is>
      </c>
    </row>
    <row r="6">
      <c r="A6" t="inlineStr">
        <is>
          <t>Revenue</t>
        </is>
      </c>
      <c r="B6">
        <f>Assumptions!B5</f>
        <v/>
      </c>
      <c r="C6">
        <f>B6*(1+Assumptions!$B$12)</f>
        <v/>
      </c>
      <c r="D6">
        <f>C6*(1+Assumptions!$B$12)</f>
        <v/>
      </c>
      <c r="E6">
        <f>D6*(1+Assumptions!$B$12)</f>
        <v/>
      </c>
    </row>
    <row r="7">
      <c r="A7" t="inlineStr">
        <is>
          <t>Gross Profit</t>
        </is>
      </c>
      <c r="B7">
        <f>B6*Assumptions!$B$8</f>
        <v/>
      </c>
      <c r="C7">
        <f>C6*Assumptions!$B$8</f>
        <v/>
      </c>
      <c r="D7">
        <f>D6*Assumptions!$B$8</f>
        <v/>
      </c>
      <c r="E7">
        <f>E6*Assumptions!$B$8</f>
        <v/>
      </c>
    </row>
    <row r="8">
      <c r="A8" t="inlineStr">
        <is>
          <t>SG&amp;A</t>
        </is>
      </c>
      <c r="B8">
        <f>B6*Assumptions!$B$9</f>
        <v/>
      </c>
      <c r="C8">
        <f>C6*Assumptions!$B$9</f>
        <v/>
      </c>
      <c r="D8">
        <f>D6*Assumptions!$B$9</f>
        <v/>
      </c>
      <c r="E8">
        <f>E6*Assumptions!$B$9</f>
        <v/>
      </c>
    </row>
    <row r="9">
      <c r="A9" t="inlineStr">
        <is>
          <t>EBITDA</t>
        </is>
      </c>
      <c r="B9">
        <f>B7-B8</f>
        <v/>
      </c>
      <c r="C9">
        <f>C7-C8</f>
        <v/>
      </c>
      <c r="D9">
        <f>D7-D8</f>
        <v/>
      </c>
      <c r="E9">
        <f>E7-E8</f>
        <v/>
      </c>
    </row>
    <row r="10">
      <c r="A10" t="inlineStr">
        <is>
          <t>EBITDA Margin</t>
        </is>
      </c>
      <c r="B10">
        <f>IF(B6=0,0,B9/B6)</f>
        <v/>
      </c>
      <c r="C10">
        <f>IF(C6=0,0,C9/C6)</f>
        <v/>
      </c>
      <c r="D10">
        <f>IF(D6=0,0,D9/D6)</f>
        <v/>
      </c>
      <c r="E10">
        <f>IF(E6=0,0,E9/E6)</f>
        <v/>
      </c>
    </row>
    <row r="12">
      <c r="A12" s="3" t="inlineStr">
        <is>
          <t>PRODUCT INVESTMENT</t>
        </is>
      </c>
    </row>
    <row r="13">
      <c r="A13" s="7" t="inlineStr"/>
      <c r="B13" s="7" t="inlineStr">
        <is>
          <t>Year 0</t>
        </is>
      </c>
      <c r="C13" s="7" t="inlineStr">
        <is>
          <t>Year 1</t>
        </is>
      </c>
      <c r="D13" s="7" t="inlineStr">
        <is>
          <t>Year 2</t>
        </is>
      </c>
      <c r="E13" s="7" t="inlineStr">
        <is>
          <t>Year 3</t>
        </is>
      </c>
    </row>
    <row r="14">
      <c r="A14" t="inlineStr">
        <is>
          <t>Product Investment</t>
        </is>
      </c>
      <c r="B14" s="8" t="n">
        <v>0</v>
      </c>
      <c r="C14">
        <f>MIN(C9*0.75, 300000)</f>
        <v/>
      </c>
      <c r="D14">
        <f>MIN(D9*0.75, 350000)</f>
        <v/>
      </c>
      <c r="E14">
        <f>MIN(E9*0.75, 300000)</f>
        <v/>
      </c>
    </row>
    <row r="15">
      <c r="A15" t="inlineStr">
        <is>
          <t>Product Revenue</t>
        </is>
      </c>
      <c r="B15" s="8" t="n">
        <v>0</v>
      </c>
      <c r="C15" s="8" t="n">
        <v>100000</v>
      </c>
      <c r="D15" s="8" t="n">
        <v>300000</v>
      </c>
      <c r="E15" s="8" t="n">
        <v>800000</v>
      </c>
    </row>
    <row r="16">
      <c r="A16" t="inlineStr">
        <is>
          <t>Net Product Cash Flow</t>
        </is>
      </c>
      <c r="B16" s="8" t="n">
        <v>0</v>
      </c>
      <c r="C16">
        <f>C15-C14</f>
        <v/>
      </c>
      <c r="D16">
        <f>D15-D14</f>
        <v/>
      </c>
      <c r="E16">
        <f>E15-E14</f>
        <v/>
      </c>
    </row>
    <row r="18">
      <c r="A18" s="3" t="inlineStr">
        <is>
          <t>COMBINED CASH FLOW</t>
        </is>
      </c>
    </row>
    <row r="19">
      <c r="A19" s="7" t="inlineStr"/>
      <c r="B19" s="7" t="inlineStr">
        <is>
          <t>Year 0</t>
        </is>
      </c>
      <c r="C19" s="7" t="inlineStr">
        <is>
          <t>Year 1</t>
        </is>
      </c>
      <c r="D19" s="7" t="inlineStr">
        <is>
          <t>Year 2</t>
        </is>
      </c>
      <c r="E19" s="7" t="inlineStr">
        <is>
          <t>Year 3</t>
        </is>
      </c>
    </row>
    <row r="20">
      <c r="A20" t="inlineStr">
        <is>
          <t>Services EBITDA</t>
        </is>
      </c>
      <c r="B20">
        <f>B9</f>
        <v/>
      </c>
      <c r="C20">
        <f>C9</f>
        <v/>
      </c>
      <c r="D20">
        <f>D9</f>
        <v/>
      </c>
      <c r="E20">
        <f>E9</f>
        <v/>
      </c>
    </row>
    <row r="21">
      <c r="A21" t="inlineStr">
        <is>
          <t>Product Investment</t>
        </is>
      </c>
      <c r="B21">
        <f>B14</f>
        <v/>
      </c>
      <c r="C21">
        <f>C14</f>
        <v/>
      </c>
      <c r="D21">
        <f>D14</f>
        <v/>
      </c>
      <c r="E21">
        <f>E14</f>
        <v/>
      </c>
    </row>
    <row r="22">
      <c r="A22" t="inlineStr">
        <is>
          <t>Net Cash Flow</t>
        </is>
      </c>
      <c r="B22">
        <f>B20-B21</f>
        <v/>
      </c>
      <c r="C22">
        <f>C20-C21</f>
        <v/>
      </c>
      <c r="D22">
        <f>D20-D21</f>
        <v/>
      </c>
      <c r="E22">
        <f>E20-E21</f>
        <v/>
      </c>
    </row>
    <row r="23">
      <c r="A23" t="inlineStr">
        <is>
          <t>Cumulative Cash</t>
        </is>
      </c>
      <c r="B23">
        <f>B22</f>
        <v/>
      </c>
      <c r="C23">
        <f>B23+C22</f>
        <v/>
      </c>
      <c r="D23">
        <f>C23+D22</f>
        <v/>
      </c>
      <c r="E23">
        <f>D23+E22</f>
        <v/>
      </c>
    </row>
    <row r="26">
      <c r="A26" s="3" t="inlineStr">
        <is>
          <t>YEAR 3 VALUATION</t>
        </is>
      </c>
    </row>
    <row r="27">
      <c r="A27" t="inlineStr">
        <is>
          <t>Services Value (Revenue x)</t>
        </is>
      </c>
      <c r="B27">
        <f>E6*Assumptions!B13</f>
        <v/>
      </c>
    </row>
    <row r="28">
      <c r="A28" t="inlineStr">
        <is>
          <t>Product Value (Revenue x)</t>
        </is>
      </c>
      <c r="B28">
        <f>E15*8</f>
        <v/>
      </c>
    </row>
    <row r="29">
      <c r="A29" t="inlineStr">
        <is>
          <t>Total Enterprise Value</t>
        </is>
      </c>
      <c r="B29">
        <f>B27+B28</f>
        <v/>
      </c>
    </row>
    <row r="30">
      <c r="A30" t="inlineStr">
        <is>
          <t>Founder Ownership</t>
        </is>
      </c>
      <c r="B30" s="4" t="n">
        <v>0.85</v>
      </c>
    </row>
    <row r="31">
      <c r="A31" t="inlineStr">
        <is>
          <t>Founder Equity Value</t>
        </is>
      </c>
      <c r="B31">
        <f>B29*B30</f>
        <v/>
      </c>
    </row>
  </sheetData>
  <mergeCells count="4">
    <mergeCell ref="A26:C26"/>
    <mergeCell ref="A18:F18"/>
    <mergeCell ref="A12:F1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PATH 2: LIQUIDATE SERVICES</t>
        </is>
      </c>
    </row>
    <row r="2">
      <c r="A2" s="6" t="inlineStr">
        <is>
          <t>Sell services for ~$8-12M, invest aggressively in product</t>
        </is>
      </c>
    </row>
    <row r="4">
      <c r="A4" s="3" t="inlineStr">
        <is>
          <t>SERVICES SALE</t>
        </is>
      </c>
    </row>
    <row r="5">
      <c r="A5" t="inlineStr">
        <is>
          <t>Current Revenue</t>
        </is>
      </c>
      <c r="B5">
        <f>Assumptions!B5</f>
        <v/>
      </c>
    </row>
    <row r="6">
      <c r="A6" t="inlineStr">
        <is>
          <t>Revenue Multiple</t>
        </is>
      </c>
      <c r="B6">
        <f>Assumptions!B13</f>
        <v/>
      </c>
    </row>
    <row r="7">
      <c r="A7" t="inlineStr">
        <is>
          <t>Implied Sale Price</t>
        </is>
      </c>
      <c r="B7">
        <f>B5*B6</f>
        <v/>
      </c>
    </row>
    <row r="8">
      <c r="A8" t="inlineStr">
        <is>
          <t>Transaction Costs (5%)</t>
        </is>
      </c>
      <c r="B8">
        <f>B7*0.05</f>
        <v/>
      </c>
    </row>
    <row r="9">
      <c r="A9" t="inlineStr">
        <is>
          <t>Net Proceeds</t>
        </is>
      </c>
      <c r="B9">
        <f>B7-B8</f>
        <v/>
      </c>
    </row>
    <row r="10">
      <c r="A10" t="inlineStr">
        <is>
          <t>Cash at Close</t>
        </is>
      </c>
      <c r="B10">
        <f>B9*Assumptions!B15</f>
        <v/>
      </c>
    </row>
    <row r="11">
      <c r="A11" t="inlineStr">
        <is>
          <t>Earnout (deferred)</t>
        </is>
      </c>
      <c r="B11">
        <f>B9-B10</f>
        <v/>
      </c>
    </row>
    <row r="13">
      <c r="A13" s="3" t="inlineStr">
        <is>
          <t>PRODUCT INVESTMENT</t>
        </is>
      </c>
    </row>
    <row r="14">
      <c r="A14" s="7" t="inlineStr"/>
      <c r="B14" s="7" t="inlineStr">
        <is>
          <t>Year 0</t>
        </is>
      </c>
      <c r="C14" s="7" t="inlineStr">
        <is>
          <t>Year 1</t>
        </is>
      </c>
      <c r="D14" s="7" t="inlineStr">
        <is>
          <t>Year 2</t>
        </is>
      </c>
      <c r="E14" s="7" t="inlineStr">
        <is>
          <t>Year 3</t>
        </is>
      </c>
    </row>
    <row r="15">
      <c r="A15" t="inlineStr">
        <is>
          <t>Available Capital</t>
        </is>
      </c>
      <c r="B15">
        <f>B10</f>
        <v/>
      </c>
      <c r="C15">
        <f>B15-C16</f>
        <v/>
      </c>
      <c r="D15">
        <f>C15+Assumptions!B19-D16</f>
        <v/>
      </c>
      <c r="E15">
        <f>D15-E16</f>
        <v/>
      </c>
    </row>
    <row r="16">
      <c r="A16" t="inlineStr">
        <is>
          <t>Product Investment (Burn)</t>
        </is>
      </c>
      <c r="B16" t="n">
        <v>0</v>
      </c>
      <c r="C16">
        <f>Assumptions!B21*12</f>
        <v/>
      </c>
      <c r="D16">
        <f>Assumptions!B21*12</f>
        <v/>
      </c>
      <c r="E16">
        <f>Assumptions!B21*12</f>
        <v/>
      </c>
    </row>
    <row r="17">
      <c r="A17" t="inlineStr">
        <is>
          <t>Product Revenue</t>
        </is>
      </c>
      <c r="B17" t="n">
        <v>0</v>
      </c>
      <c r="C17">
        <f>Assumptions!B24</f>
        <v/>
      </c>
      <c r="D17">
        <f>Assumptions!B25</f>
        <v/>
      </c>
      <c r="E17">
        <f>Assumptions!B26</f>
        <v/>
      </c>
    </row>
    <row r="18">
      <c r="A18" t="inlineStr">
        <is>
          <t>Net Cash Position</t>
        </is>
      </c>
      <c r="B18">
        <f>B15</f>
        <v/>
      </c>
      <c r="C18">
        <f>B15-C16+C17</f>
        <v/>
      </c>
      <c r="D18">
        <f>C18+Assumptions!B19-D16+D17</f>
        <v/>
      </c>
      <c r="E18">
        <f>D18-E16+E17</f>
        <v/>
      </c>
    </row>
    <row r="21">
      <c r="A21" s="3" t="inlineStr">
        <is>
          <t>YEAR 3 VALUATION (SUCCESS CASE)</t>
        </is>
      </c>
    </row>
    <row r="22">
      <c r="A22" t="inlineStr">
        <is>
          <t>Product Revenue (Y3)</t>
        </is>
      </c>
      <c r="B22">
        <f>E17</f>
        <v/>
      </c>
    </row>
    <row r="23">
      <c r="A23" t="inlineStr">
        <is>
          <t>Product Multiple</t>
        </is>
      </c>
      <c r="B23">
        <f>Assumptions!B27</f>
        <v/>
      </c>
    </row>
    <row r="24">
      <c r="A24" t="inlineStr">
        <is>
          <t>Product Value</t>
        </is>
      </c>
      <c r="B24">
        <f>B22*B23</f>
        <v/>
      </c>
    </row>
    <row r="25">
      <c r="A25" t="inlineStr">
        <is>
          <t>Founder Ownership Post-A</t>
        </is>
      </c>
      <c r="B25">
        <f>Assumptions!B23</f>
        <v/>
      </c>
    </row>
    <row r="26">
      <c r="A26" t="inlineStr">
        <is>
          <t>Founder Equity Value</t>
        </is>
      </c>
      <c r="B26">
        <f>B24*B25</f>
        <v/>
      </c>
    </row>
  </sheetData>
  <mergeCells count="3">
    <mergeCell ref="A13:F13"/>
    <mergeCell ref="A4:C4"/>
    <mergeCell ref="A21:C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PATH 3: GROWTH BOTH</t>
        </is>
      </c>
    </row>
    <row r="2">
      <c r="A2" s="6" t="inlineStr">
        <is>
          <t>New services leader + VC for product</t>
        </is>
      </c>
    </row>
    <row r="4">
      <c r="A4" s="3" t="inlineStr">
        <is>
          <t>SERVICES (WITH NEW LEADER)</t>
        </is>
      </c>
    </row>
    <row r="5">
      <c r="A5" s="7" t="inlineStr"/>
      <c r="B5" s="7" t="inlineStr">
        <is>
          <t>Year 0</t>
        </is>
      </c>
      <c r="C5" s="7" t="inlineStr">
        <is>
          <t>Year 1</t>
        </is>
      </c>
      <c r="D5" s="7" t="inlineStr">
        <is>
          <t>Year 2</t>
        </is>
      </c>
      <c r="E5" s="7" t="inlineStr">
        <is>
          <t>Year 3</t>
        </is>
      </c>
    </row>
    <row r="6">
      <c r="A6" t="inlineStr">
        <is>
          <t>Revenue</t>
        </is>
      </c>
      <c r="B6">
        <f>Assumptions!B5</f>
        <v/>
      </c>
      <c r="C6">
        <f>B6*(1+Assumptions!$B$11)</f>
        <v/>
      </c>
      <c r="D6">
        <f>C6*(1+Assumptions!$B$11)</f>
        <v/>
      </c>
      <c r="E6">
        <f>D6*(1+Assumptions!$B$11)</f>
        <v/>
      </c>
    </row>
    <row r="7">
      <c r="A7" t="inlineStr">
        <is>
          <t>Leader Investment</t>
        </is>
      </c>
      <c r="B7" t="n">
        <v>0</v>
      </c>
      <c r="C7" s="4" t="n">
        <v>150000</v>
      </c>
      <c r="D7" t="n">
        <v>0</v>
      </c>
      <c r="E7" t="n">
        <v>0</v>
      </c>
    </row>
    <row r="8">
      <c r="A8" t="inlineStr">
        <is>
          <t>Working Capital Needs</t>
        </is>
      </c>
      <c r="B8" t="n">
        <v>0</v>
      </c>
      <c r="C8" s="4" t="n">
        <v>100000</v>
      </c>
      <c r="D8" s="4" t="n">
        <v>50000</v>
      </c>
      <c r="E8" t="n">
        <v>0</v>
      </c>
    </row>
    <row r="9">
      <c r="A9" t="inlineStr">
        <is>
          <t>EBITDA</t>
        </is>
      </c>
      <c r="B9">
        <f>B6*Assumptions!$B$10</f>
        <v/>
      </c>
      <c r="C9">
        <f>C6*Assumptions!$B$10-C7-C8</f>
        <v/>
      </c>
      <c r="D9">
        <f>D6*Assumptions!$B$10-D8</f>
        <v/>
      </c>
      <c r="E9">
        <f>E6*Assumptions!$B$10</f>
        <v/>
      </c>
    </row>
    <row r="10">
      <c r="A10" t="inlineStr">
        <is>
          <t>Services Value (Y3)</t>
        </is>
      </c>
      <c r="B10" t="inlineStr"/>
      <c r="C10" t="inlineStr"/>
      <c r="D10" t="inlineStr"/>
      <c r="E10">
        <f>E6*Assumptions!B13</f>
        <v/>
      </c>
    </row>
    <row r="13">
      <c r="A13" s="3" t="inlineStr">
        <is>
          <t>PRODUCT (WITH VC)</t>
        </is>
      </c>
    </row>
    <row r="14">
      <c r="A14" s="7" t="inlineStr"/>
      <c r="B14" s="7" t="inlineStr">
        <is>
          <t>Year 0</t>
        </is>
      </c>
      <c r="C14" s="7" t="inlineStr">
        <is>
          <t>Year 1</t>
        </is>
      </c>
      <c r="D14" s="7" t="inlineStr">
        <is>
          <t>Year 2</t>
        </is>
      </c>
      <c r="E14" s="7" t="inlineStr">
        <is>
          <t>Year 3</t>
        </is>
      </c>
    </row>
    <row r="15">
      <c r="A15" t="inlineStr">
        <is>
          <t>VC Raise (Seed)</t>
        </is>
      </c>
      <c r="B15" t="n">
        <v>0</v>
      </c>
      <c r="C15">
        <f>Assumptions!B19</f>
        <v/>
      </c>
      <c r="D15" t="n">
        <v>0</v>
      </c>
      <c r="E15" t="n">
        <v>0</v>
      </c>
    </row>
    <row r="16">
      <c r="A16" t="inlineStr">
        <is>
          <t>VC Raise (Series A)</t>
        </is>
      </c>
      <c r="B16" t="n">
        <v>0</v>
      </c>
      <c r="C16" t="n">
        <v>0</v>
      </c>
      <c r="D16">
        <f>Assumptions!B20</f>
        <v/>
      </c>
      <c r="E16" t="n">
        <v>0</v>
      </c>
    </row>
    <row r="17">
      <c r="A17" t="inlineStr">
        <is>
          <t>Product Burn</t>
        </is>
      </c>
      <c r="B17" t="n">
        <v>0</v>
      </c>
      <c r="C17">
        <f>Assumptions!B21*12</f>
        <v/>
      </c>
      <c r="D17">
        <f>Assumptions!B21*12</f>
        <v/>
      </c>
      <c r="E17">
        <f>Assumptions!B21*12</f>
        <v/>
      </c>
    </row>
    <row r="18">
      <c r="A18" t="inlineStr">
        <is>
          <t>Product Revenue</t>
        </is>
      </c>
      <c r="B18" t="n">
        <v>0</v>
      </c>
      <c r="C18">
        <f>Assumptions!B24</f>
        <v/>
      </c>
      <c r="D18">
        <f>Assumptions!B25</f>
        <v/>
      </c>
      <c r="E18">
        <f>Assumptions!B26</f>
        <v/>
      </c>
    </row>
    <row r="19">
      <c r="A19" t="inlineStr">
        <is>
          <t>Product Value (Y3)</t>
        </is>
      </c>
      <c r="B19" t="inlineStr"/>
      <c r="C19" t="inlineStr"/>
      <c r="D19" t="inlineStr"/>
      <c r="E19">
        <f>E18*Assumptions!B27</f>
        <v/>
      </c>
    </row>
    <row r="22">
      <c r="A22" s="3" t="inlineStr">
        <is>
          <t>COMBINED VALUATION (Y3)</t>
        </is>
      </c>
    </row>
    <row r="23">
      <c r="A23" t="inlineStr">
        <is>
          <t>Services Value</t>
        </is>
      </c>
      <c r="B23">
        <f>E10</f>
        <v/>
      </c>
    </row>
    <row r="24">
      <c r="A24" t="inlineStr">
        <is>
          <t>Product Value</t>
        </is>
      </c>
      <c r="B24">
        <f>E19</f>
        <v/>
      </c>
    </row>
    <row r="25">
      <c r="A25" t="inlineStr">
        <is>
          <t>Total Enterprise Value</t>
        </is>
      </c>
      <c r="B25">
        <f>B23+B24</f>
        <v/>
      </c>
    </row>
    <row r="26">
      <c r="A26" t="inlineStr">
        <is>
          <t>Services Ownership</t>
        </is>
      </c>
      <c r="B26" s="4" t="n">
        <v>1</v>
      </c>
    </row>
    <row r="27">
      <c r="A27" t="inlineStr">
        <is>
          <t>Product Ownership Post-A</t>
        </is>
      </c>
      <c r="B27">
        <f>Assumptions!B23</f>
        <v/>
      </c>
    </row>
    <row r="28">
      <c r="A28" t="inlineStr">
        <is>
          <t>Founder Value (Services)</t>
        </is>
      </c>
      <c r="B28">
        <f>B23*B26</f>
        <v/>
      </c>
    </row>
    <row r="29">
      <c r="A29" t="inlineStr">
        <is>
          <t>Founder Value (Product)</t>
        </is>
      </c>
      <c r="B29">
        <f>B24*B27</f>
        <v/>
      </c>
    </row>
    <row r="30">
      <c r="A30" t="inlineStr">
        <is>
          <t>Total Founder Value</t>
        </is>
      </c>
      <c r="B30">
        <f>B28+B29</f>
        <v/>
      </c>
    </row>
  </sheetData>
  <mergeCells count="3">
    <mergeCell ref="A13:F13"/>
    <mergeCell ref="A4:F4"/>
    <mergeCell ref="A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PATH 4: STRATEGIC LEVERAGE (RECOMMENDED)</t>
        </is>
      </c>
    </row>
    <row r="2">
      <c r="A2" s="6" t="inlineStr">
        <is>
          <t>Use services as bridge, maintain optionality, then transition</t>
        </is>
      </c>
    </row>
    <row r="4">
      <c r="A4" s="3" t="inlineStr">
        <is>
          <t>PHASE 1: STRATEGIC BRIDGE (MONTHS 1-12)</t>
        </is>
      </c>
    </row>
    <row r="5">
      <c r="A5" t="inlineStr">
        <is>
          <t>Services Revenue</t>
        </is>
      </c>
      <c r="B5">
        <f>Assumptions!B5</f>
        <v/>
      </c>
    </row>
    <row r="6">
      <c r="A6" t="inlineStr">
        <is>
          <t>Optimized EBITDA Margin</t>
        </is>
      </c>
      <c r="B6" s="4" t="n">
        <v>0.2</v>
      </c>
    </row>
    <row r="7">
      <c r="A7" t="inlineStr">
        <is>
          <t>Services EBITDA</t>
        </is>
      </c>
      <c r="B7">
        <f>B5*B6</f>
        <v/>
      </c>
    </row>
    <row r="8">
      <c r="A8" t="inlineStr">
        <is>
          <t>Product Investment (from services)</t>
        </is>
      </c>
      <c r="B8">
        <f>B7*0.7</f>
        <v/>
      </c>
    </row>
    <row r="9">
      <c r="A9" t="inlineStr">
        <is>
          <t>Remaining Cash Cushion</t>
        </is>
      </c>
      <c r="B9">
        <f>B7-B8</f>
        <v/>
      </c>
    </row>
    <row r="11">
      <c r="A11" s="3" t="inlineStr">
        <is>
          <t>PHASE 2: DECISION POINT (MONTH 12-18)</t>
        </is>
      </c>
    </row>
    <row r="12">
      <c r="A12" s="7" t="inlineStr">
        <is>
          <t>Decision Trigger</t>
        </is>
      </c>
      <c r="B12" s="7" t="inlineStr">
        <is>
          <t>Services Action</t>
        </is>
      </c>
      <c r="C12" s="7" t="inlineStr">
        <is>
          <t>Product Action</t>
        </is>
      </c>
      <c r="D12" s="7" t="inlineStr">
        <is>
          <t>Raise</t>
        </is>
      </c>
      <c r="E12" s="7" t="inlineStr">
        <is>
          <t>Expected Outcome</t>
        </is>
      </c>
    </row>
    <row r="13">
      <c r="A13" t="inlineStr">
        <is>
          <t>Strong PMF (3+ paying customers)</t>
        </is>
      </c>
      <c r="B13" t="inlineStr">
        <is>
          <t>Sell quickly</t>
        </is>
      </c>
      <c r="C13" t="inlineStr">
        <is>
          <t>Accelerate</t>
        </is>
      </c>
      <c r="D13" t="inlineStr">
        <is>
          <t>Seed $3M</t>
        </is>
      </c>
      <c r="E13" t="inlineStr">
        <is>
          <t>High upside</t>
        </is>
      </c>
    </row>
    <row r="14">
      <c r="A14" t="inlineStr">
        <is>
          <t>Moderate PMF (1-2 customers)</t>
        </is>
      </c>
      <c r="B14" t="inlineStr">
        <is>
          <t>Maintain</t>
        </is>
      </c>
      <c r="C14" t="inlineStr">
        <is>
          <t>Continue</t>
        </is>
      </c>
      <c r="D14" t="inlineStr">
        <is>
          <t>Small seed $1M</t>
        </is>
      </c>
      <c r="E14" t="inlineStr">
        <is>
          <t>Moderate upside</t>
        </is>
      </c>
    </row>
    <row r="15">
      <c r="A15" t="inlineStr">
        <is>
          <t>Weak PMF (no customers)</t>
        </is>
      </c>
      <c r="B15" t="inlineStr">
        <is>
          <t>Preserve/Sell</t>
        </is>
      </c>
      <c r="C15" t="inlineStr">
        <is>
          <t>Pivot or stop</t>
        </is>
      </c>
      <c r="D15" t="inlineStr">
        <is>
          <t>None</t>
        </is>
      </c>
      <c r="E15" t="inlineStr">
        <is>
          <t>Preserve value</t>
        </is>
      </c>
    </row>
    <row r="17">
      <c r="A17" s="3" t="inlineStr">
        <is>
          <t>3-YEAR PROJECTION (BASE CASE: STRONG PMF)</t>
        </is>
      </c>
    </row>
    <row r="18">
      <c r="A18" s="7" t="inlineStr"/>
      <c r="B18" s="7" t="inlineStr">
        <is>
          <t>Year 0</t>
        </is>
      </c>
      <c r="C18" s="7" t="inlineStr">
        <is>
          <t>Year 1</t>
        </is>
      </c>
      <c r="D18" s="7" t="inlineStr">
        <is>
          <t>Year 2</t>
        </is>
      </c>
      <c r="E18" s="7" t="inlineStr">
        <is>
          <t>Year 3</t>
        </is>
      </c>
    </row>
    <row r="19">
      <c r="A19" t="inlineStr">
        <is>
          <t>Services Revenue</t>
        </is>
      </c>
      <c r="B19">
        <f>Assumptions!B5</f>
        <v/>
      </c>
      <c r="C19">
        <f>B19</f>
        <v/>
      </c>
      <c r="D19" t="n">
        <v>0</v>
      </c>
      <c r="E19" t="n">
        <v>0</v>
      </c>
    </row>
    <row r="20">
      <c r="A20" t="inlineStr">
        <is>
          <t>Services EBITDA</t>
        </is>
      </c>
      <c r="B20">
        <f>B19*0.2</f>
        <v/>
      </c>
      <c r="C20">
        <f>C19*0.2</f>
        <v/>
      </c>
      <c r="D20" t="n">
        <v>0</v>
      </c>
      <c r="E20" t="n">
        <v>0</v>
      </c>
    </row>
    <row r="21">
      <c r="A21" t="inlineStr">
        <is>
          <t>Services Sale (Y1)</t>
        </is>
      </c>
      <c r="B21" t="n">
        <v>0</v>
      </c>
      <c r="C21">
        <f>Assumptions!B5*Assumptions!B13*0.95</f>
        <v/>
      </c>
      <c r="D21" t="n">
        <v>0</v>
      </c>
      <c r="E21" t="n">
        <v>0</v>
      </c>
    </row>
    <row r="22">
      <c r="A22" t="inlineStr">
        <is>
          <t>Product Investment</t>
        </is>
      </c>
      <c r="B22" t="n">
        <v>0</v>
      </c>
      <c r="C22">
        <f>B8</f>
        <v/>
      </c>
      <c r="D22">
        <f>Assumptions!B21*12</f>
        <v/>
      </c>
      <c r="E22">
        <f>Assumptions!B21*12</f>
        <v/>
      </c>
    </row>
    <row r="23">
      <c r="A23" t="inlineStr">
        <is>
          <t>Seed Raise (Y2)</t>
        </is>
      </c>
      <c r="B23" t="n">
        <v>0</v>
      </c>
      <c r="C23" t="n">
        <v>0</v>
      </c>
      <c r="D23">
        <f>Assumptions!B19</f>
        <v/>
      </c>
      <c r="E23" t="n">
        <v>0</v>
      </c>
    </row>
    <row r="24">
      <c r="A24" t="inlineStr">
        <is>
          <t>Series A (Y3)</t>
        </is>
      </c>
      <c r="B24" t="n">
        <v>0</v>
      </c>
      <c r="C24" t="n">
        <v>0</v>
      </c>
      <c r="D24" t="n">
        <v>0</v>
      </c>
      <c r="E24">
        <f>Assumptions!B20</f>
        <v/>
      </c>
    </row>
    <row r="25">
      <c r="A25" t="inlineStr">
        <is>
          <t>Product Revenue</t>
        </is>
      </c>
      <c r="B25" t="n">
        <v>0</v>
      </c>
      <c r="C25" s="4" t="n">
        <v>200000</v>
      </c>
      <c r="D25">
        <f>Assumptions!B25</f>
        <v/>
      </c>
      <c r="E25">
        <f>Assumptions!B26</f>
        <v/>
      </c>
    </row>
    <row r="28">
      <c r="A28" s="3" t="inlineStr">
        <is>
          <t>YEAR 3 VALUATION</t>
        </is>
      </c>
    </row>
    <row r="29">
      <c r="A29" t="inlineStr">
        <is>
          <t>Services Sale Proceeds (Y1)</t>
        </is>
      </c>
      <c r="B29">
        <f>C21</f>
        <v/>
      </c>
    </row>
    <row r="30">
      <c r="A30" t="inlineStr">
        <is>
          <t>Product Value (Y3)</t>
        </is>
      </c>
      <c r="B30">
        <f>E25*Assumptions!B27</f>
        <v/>
      </c>
    </row>
    <row r="31">
      <c r="A31" t="inlineStr">
        <is>
          <t>Total Value Created</t>
        </is>
      </c>
      <c r="B31">
        <f>B29+B30</f>
        <v/>
      </c>
    </row>
    <row r="32">
      <c r="A32" t="inlineStr">
        <is>
          <t>Product Ownership Post-A</t>
        </is>
      </c>
      <c r="B32">
        <f>Assumptions!B23</f>
        <v/>
      </c>
    </row>
    <row r="33">
      <c r="A33" t="inlineStr">
        <is>
          <t>Founder Value (Services)</t>
        </is>
      </c>
      <c r="B33">
        <f>B29</f>
        <v/>
      </c>
    </row>
    <row r="34">
      <c r="A34" t="inlineStr">
        <is>
          <t>Founder Value (Product)</t>
        </is>
      </c>
      <c r="B34">
        <f>B30*B32</f>
        <v/>
      </c>
    </row>
    <row r="35">
      <c r="A35" t="inlineStr">
        <is>
          <t>Total Founder Value</t>
        </is>
      </c>
      <c r="B35">
        <f>B33+B34</f>
        <v/>
      </c>
    </row>
  </sheetData>
  <mergeCells count="4">
    <mergeCell ref="A11:E11"/>
    <mergeCell ref="A28:C28"/>
    <mergeCell ref="A4:D4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EXPECTED VALUE COMPARISON</t>
        </is>
      </c>
    </row>
    <row r="2">
      <c r="A2" s="6" t="inlineStr">
        <is>
          <t>E(V) = Probability x Value across scenarios</t>
        </is>
      </c>
    </row>
    <row r="4">
      <c r="A4" s="3" t="inlineStr">
        <is>
          <t>SCENARIO PROBABILITIES</t>
        </is>
      </c>
    </row>
    <row r="5">
      <c r="A5" t="inlineStr">
        <is>
          <t>Helm Succeeds</t>
        </is>
      </c>
      <c r="B5">
        <f>Assumptions!B32</f>
        <v/>
      </c>
    </row>
    <row r="6">
      <c r="A6" t="inlineStr">
        <is>
          <t>Helm Struggles</t>
        </is>
      </c>
      <c r="B6">
        <f>Assumptions!B33</f>
        <v/>
      </c>
    </row>
    <row r="7">
      <c r="A7" t="inlineStr">
        <is>
          <t>Pivot/Other</t>
        </is>
      </c>
      <c r="B7">
        <f>Assumptions!B34</f>
        <v/>
      </c>
    </row>
    <row r="9">
      <c r="A9" s="3" t="inlineStr">
        <is>
          <t>FOUNDER EQUITY VALUE BY PATH AND SCENARIO ($M)</t>
        </is>
      </c>
    </row>
    <row r="10">
      <c r="A10" s="9" t="inlineStr">
        <is>
          <t>Path</t>
        </is>
      </c>
      <c r="B10" s="9" t="inlineStr">
        <is>
          <t>Success</t>
        </is>
      </c>
      <c r="C10" s="9" t="inlineStr">
        <is>
          <t>Struggles</t>
        </is>
      </c>
      <c r="D10" s="9" t="inlineStr">
        <is>
          <t>Pivot</t>
        </is>
      </c>
      <c r="E10" s="9" t="inlineStr">
        <is>
          <t>Expected Value</t>
        </is>
      </c>
    </row>
    <row r="11">
      <c r="A11" t="inlineStr">
        <is>
          <t>Path 1: Lean</t>
        </is>
      </c>
      <c r="B11" s="4" t="n">
        <v>25</v>
      </c>
      <c r="C11" s="4" t="n">
        <v>4</v>
      </c>
      <c r="D11" s="4" t="n">
        <v>12</v>
      </c>
      <c r="E11">
        <f>B11*$B$5+C11*$B$6+D11*$B$7</f>
        <v/>
      </c>
    </row>
    <row r="12">
      <c r="A12" t="inlineStr">
        <is>
          <t>Path 2: Liquidate</t>
        </is>
      </c>
      <c r="B12" s="4" t="n">
        <v>50</v>
      </c>
      <c r="C12" s="4" t="n">
        <v>0</v>
      </c>
      <c r="D12" s="4" t="n">
        <v>3</v>
      </c>
      <c r="E12">
        <f>B12*$B$5+C12*$B$6+D12*$B$7</f>
        <v/>
      </c>
    </row>
    <row r="13">
      <c r="A13" t="inlineStr">
        <is>
          <t>Path 3: Growth Both</t>
        </is>
      </c>
      <c r="B13" s="4" t="n">
        <v>45</v>
      </c>
      <c r="C13" s="4" t="n">
        <v>10</v>
      </c>
      <c r="D13" s="4" t="n">
        <v>18</v>
      </c>
      <c r="E13">
        <f>B13*$B$5+C13*$B$6+D13*$B$7</f>
        <v/>
      </c>
    </row>
    <row r="14">
      <c r="A14" t="inlineStr">
        <is>
          <t>Path 4: Strategic Leverage</t>
        </is>
      </c>
      <c r="B14" s="4" t="n">
        <v>55</v>
      </c>
      <c r="C14" s="4" t="n">
        <v>10</v>
      </c>
      <c r="D14" s="4" t="n">
        <v>15</v>
      </c>
      <c r="E14">
        <f>B14*$B$5+C14*$B$6+D14*$B$7</f>
        <v/>
      </c>
    </row>
    <row r="16">
      <c r="A16" s="7" t="inlineStr">
        <is>
          <t>RANKING BY EXPECTED VALUE</t>
        </is>
      </c>
    </row>
    <row r="17">
      <c r="A17" t="inlineStr">
        <is>
          <t>1. Strategic Leverage</t>
        </is>
      </c>
      <c r="B17">
        <f>E14</f>
        <v/>
      </c>
    </row>
    <row r="18">
      <c r="A18" t="inlineStr">
        <is>
          <t>2. Growth Both</t>
        </is>
      </c>
      <c r="B18">
        <f>E13</f>
        <v/>
      </c>
    </row>
    <row r="19">
      <c r="A19" t="inlineStr">
        <is>
          <t>3. Liquidate</t>
        </is>
      </c>
      <c r="B19">
        <f>E12</f>
        <v/>
      </c>
    </row>
    <row r="20">
      <c r="A20" t="inlineStr">
        <is>
          <t>4. Lean</t>
        </is>
      </c>
      <c r="B20">
        <f>E11</f>
        <v/>
      </c>
    </row>
    <row r="22">
      <c r="A22" s="3" t="inlineStr">
        <is>
          <t>KEY INSIGHTS</t>
        </is>
      </c>
    </row>
    <row r="23">
      <c r="A23" t="inlineStr">
        <is>
          <t>1. Strategic Leverage wins by preserving optionality while making progress</t>
        </is>
      </c>
    </row>
    <row r="24">
      <c r="A24" t="inlineStr">
        <is>
          <t>2. Liquidate has highest upside but highest downside (total loss if product fails)</t>
        </is>
      </c>
    </row>
    <row r="25">
      <c r="A25" t="inlineStr">
        <is>
          <t>3. Lean underperforms due to market timing risk - too slow for 18-24mo window</t>
        </is>
      </c>
    </row>
    <row r="26">
      <c r="A26" t="inlineStr">
        <is>
          <t>4. Growth Both viable but adds complexity for marginal EV gain</t>
        </is>
      </c>
    </row>
  </sheetData>
  <mergeCells count="7">
    <mergeCell ref="A4:B4"/>
    <mergeCell ref="A26:E26"/>
    <mergeCell ref="A24:E24"/>
    <mergeCell ref="A25:E25"/>
    <mergeCell ref="A23:E23"/>
    <mergeCell ref="A22:E2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2026-01-09T22:28:56Z</dcterms:created>
  <dcterms:modified xsi:type="dcterms:W3CDTF">2026-01-09T22:28:56Z</dcterms:modified>
</cp:coreProperties>
</file>