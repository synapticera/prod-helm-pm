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J:\Shared drives\Synaptic Finance &amp; Administrative\03 Finance\Cash Flow\2025\2025 12\"/>
    </mc:Choice>
  </mc:AlternateContent>
  <xr:revisionPtr revIDLastSave="0" documentId="13_ncr:1_{37A18D58-E3B7-43EF-AF1D-3C578D295061}" xr6:coauthVersionLast="47" xr6:coauthVersionMax="47" xr10:uidLastSave="{00000000-0000-0000-0000-000000000000}"/>
  <bookViews>
    <workbookView xWindow="-120" yWindow="-120" windowWidth="29040" windowHeight="15720" tabRatio="700" firstSheet="1" activeTab="4" xr2:uid="{00000000-000D-0000-FFFF-FFFF00000000}"/>
  </bookViews>
  <sheets>
    <sheet name="Comparison Q" sheetId="12" state="hidden" r:id="rId1"/>
    <sheet name="Comparison" sheetId="10" r:id="rId2"/>
    <sheet name="Cash In by Project" sheetId="4" r:id="rId3"/>
    <sheet name="Cash In By Type" sheetId="5" r:id="rId4"/>
    <sheet name="Cash Flow Report" sheetId="8" r:id="rId5"/>
    <sheet name="DSCO" sheetId="6" r:id="rId6"/>
    <sheet name="Uncollected" sheetId="11" r:id="rId7"/>
    <sheet name="Invoice &amp; Payments" sheetId="3" r:id="rId8"/>
    <sheet name="Mapping" sheetId="7" r:id="rId9"/>
    <sheet name="Version" sheetId="9" r:id="rId10"/>
  </sheets>
  <definedNames>
    <definedName name="_xlnm._FilterDatabase" localSheetId="7" hidden="1">'Invoice &amp; Payments'!$A$1:$N$302</definedName>
    <definedName name="_xlnm._FilterDatabase" localSheetId="8" hidden="1">Mapping!$A$1:$D$30</definedName>
  </definedNames>
  <calcPr calcId="191029"/>
  <pivotCaches>
    <pivotCache cacheId="10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2" i="8" l="1"/>
  <c r="Q40" i="8"/>
  <c r="P40" i="8"/>
  <c r="O40" i="8"/>
  <c r="I52" i="10" l="1"/>
  <c r="E52" i="10"/>
  <c r="I54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I10" i="10" l="1"/>
  <c r="I7" i="10"/>
  <c r="N302" i="3"/>
  <c r="M302" i="3"/>
  <c r="L302" i="3"/>
  <c r="K302" i="3"/>
  <c r="J302" i="3"/>
  <c r="N301" i="3"/>
  <c r="M301" i="3"/>
  <c r="L301" i="3"/>
  <c r="K301" i="3"/>
  <c r="J301" i="3"/>
  <c r="N300" i="3"/>
  <c r="M300" i="3"/>
  <c r="L300" i="3"/>
  <c r="K300" i="3"/>
  <c r="J300" i="3"/>
  <c r="N299" i="3"/>
  <c r="M299" i="3"/>
  <c r="L299" i="3"/>
  <c r="K299" i="3"/>
  <c r="J299" i="3"/>
  <c r="N298" i="3"/>
  <c r="M298" i="3"/>
  <c r="L298" i="3"/>
  <c r="K298" i="3"/>
  <c r="J298" i="3"/>
  <c r="N297" i="3"/>
  <c r="M297" i="3"/>
  <c r="L297" i="3"/>
  <c r="K297" i="3"/>
  <c r="J297" i="3"/>
  <c r="N296" i="3"/>
  <c r="M296" i="3"/>
  <c r="L296" i="3"/>
  <c r="K296" i="3"/>
  <c r="J296" i="3"/>
  <c r="N295" i="3"/>
  <c r="M295" i="3"/>
  <c r="L295" i="3"/>
  <c r="K295" i="3"/>
  <c r="J295" i="3"/>
  <c r="N294" i="3"/>
  <c r="M294" i="3"/>
  <c r="L294" i="3"/>
  <c r="K294" i="3"/>
  <c r="J294" i="3"/>
  <c r="N293" i="3"/>
  <c r="M293" i="3"/>
  <c r="L293" i="3"/>
  <c r="K293" i="3"/>
  <c r="J293" i="3"/>
  <c r="N292" i="3"/>
  <c r="M292" i="3"/>
  <c r="L292" i="3"/>
  <c r="K292" i="3"/>
  <c r="J292" i="3"/>
  <c r="N291" i="3"/>
  <c r="M291" i="3"/>
  <c r="L291" i="3"/>
  <c r="K291" i="3"/>
  <c r="J291" i="3"/>
  <c r="N290" i="3"/>
  <c r="M290" i="3"/>
  <c r="L290" i="3"/>
  <c r="K290" i="3"/>
  <c r="J290" i="3"/>
  <c r="N289" i="3"/>
  <c r="M289" i="3"/>
  <c r="L289" i="3"/>
  <c r="K289" i="3"/>
  <c r="J289" i="3"/>
  <c r="N288" i="3"/>
  <c r="M288" i="3"/>
  <c r="L288" i="3"/>
  <c r="K288" i="3"/>
  <c r="J288" i="3"/>
  <c r="N287" i="3"/>
  <c r="M287" i="3"/>
  <c r="L287" i="3"/>
  <c r="K287" i="3"/>
  <c r="J287" i="3"/>
  <c r="N286" i="3"/>
  <c r="M286" i="3"/>
  <c r="L286" i="3"/>
  <c r="K286" i="3"/>
  <c r="J286" i="3"/>
  <c r="N285" i="3"/>
  <c r="M285" i="3"/>
  <c r="L285" i="3"/>
  <c r="K285" i="3"/>
  <c r="J285" i="3"/>
  <c r="N284" i="3"/>
  <c r="M284" i="3"/>
  <c r="L284" i="3"/>
  <c r="K284" i="3"/>
  <c r="J284" i="3"/>
  <c r="N283" i="3"/>
  <c r="M283" i="3"/>
  <c r="L283" i="3"/>
  <c r="K283" i="3"/>
  <c r="J283" i="3"/>
  <c r="N282" i="3"/>
  <c r="M282" i="3"/>
  <c r="L282" i="3"/>
  <c r="K282" i="3"/>
  <c r="J282" i="3"/>
  <c r="N281" i="3"/>
  <c r="M281" i="3"/>
  <c r="L281" i="3"/>
  <c r="K281" i="3"/>
  <c r="J281" i="3"/>
  <c r="N280" i="3"/>
  <c r="M280" i="3"/>
  <c r="L280" i="3"/>
  <c r="K280" i="3"/>
  <c r="J280" i="3"/>
  <c r="N279" i="3"/>
  <c r="M279" i="3"/>
  <c r="L279" i="3"/>
  <c r="K279" i="3"/>
  <c r="J279" i="3"/>
  <c r="N278" i="3"/>
  <c r="M278" i="3"/>
  <c r="L278" i="3"/>
  <c r="K278" i="3"/>
  <c r="J278" i="3"/>
  <c r="N277" i="3"/>
  <c r="M277" i="3"/>
  <c r="L277" i="3"/>
  <c r="K277" i="3"/>
  <c r="J277" i="3"/>
  <c r="N276" i="3"/>
  <c r="M276" i="3"/>
  <c r="L276" i="3"/>
  <c r="K276" i="3"/>
  <c r="J276" i="3"/>
  <c r="N275" i="3"/>
  <c r="M275" i="3"/>
  <c r="L275" i="3"/>
  <c r="K275" i="3"/>
  <c r="J275" i="3"/>
  <c r="N274" i="3"/>
  <c r="M274" i="3"/>
  <c r="L274" i="3"/>
  <c r="K274" i="3"/>
  <c r="J274" i="3"/>
  <c r="N273" i="3"/>
  <c r="M273" i="3"/>
  <c r="L273" i="3"/>
  <c r="K273" i="3"/>
  <c r="J273" i="3"/>
  <c r="N272" i="3"/>
  <c r="M272" i="3"/>
  <c r="L272" i="3"/>
  <c r="K272" i="3"/>
  <c r="J272" i="3"/>
  <c r="N271" i="3"/>
  <c r="M271" i="3"/>
  <c r="L271" i="3"/>
  <c r="K271" i="3"/>
  <c r="J271" i="3"/>
  <c r="N270" i="3"/>
  <c r="M270" i="3"/>
  <c r="L270" i="3"/>
  <c r="K270" i="3"/>
  <c r="J270" i="3"/>
  <c r="N269" i="3"/>
  <c r="M269" i="3"/>
  <c r="L269" i="3"/>
  <c r="K269" i="3"/>
  <c r="J269" i="3"/>
  <c r="N268" i="3"/>
  <c r="M268" i="3"/>
  <c r="L268" i="3"/>
  <c r="K268" i="3"/>
  <c r="J268" i="3"/>
  <c r="N267" i="3"/>
  <c r="M267" i="3"/>
  <c r="L267" i="3"/>
  <c r="K267" i="3"/>
  <c r="J267" i="3"/>
  <c r="N266" i="3"/>
  <c r="M266" i="3"/>
  <c r="L266" i="3"/>
  <c r="K266" i="3"/>
  <c r="J266" i="3"/>
  <c r="N265" i="3"/>
  <c r="M265" i="3"/>
  <c r="L265" i="3"/>
  <c r="K265" i="3"/>
  <c r="J265" i="3"/>
  <c r="N264" i="3"/>
  <c r="M264" i="3"/>
  <c r="L264" i="3"/>
  <c r="K264" i="3"/>
  <c r="J264" i="3"/>
  <c r="N263" i="3"/>
  <c r="M263" i="3"/>
  <c r="L263" i="3"/>
  <c r="K263" i="3"/>
  <c r="J263" i="3"/>
  <c r="N262" i="3"/>
  <c r="M262" i="3"/>
  <c r="L262" i="3"/>
  <c r="K262" i="3"/>
  <c r="J262" i="3"/>
  <c r="N261" i="3"/>
  <c r="M261" i="3"/>
  <c r="L261" i="3"/>
  <c r="K261" i="3"/>
  <c r="J261" i="3"/>
  <c r="N260" i="3"/>
  <c r="M260" i="3"/>
  <c r="L260" i="3"/>
  <c r="K260" i="3"/>
  <c r="J260" i="3"/>
  <c r="N259" i="3"/>
  <c r="M259" i="3"/>
  <c r="L259" i="3"/>
  <c r="K259" i="3"/>
  <c r="J259" i="3"/>
  <c r="N258" i="3"/>
  <c r="M258" i="3"/>
  <c r="L258" i="3"/>
  <c r="K258" i="3"/>
  <c r="J258" i="3"/>
  <c r="N257" i="3"/>
  <c r="M257" i="3"/>
  <c r="L257" i="3"/>
  <c r="K257" i="3"/>
  <c r="J257" i="3"/>
  <c r="N256" i="3"/>
  <c r="M256" i="3"/>
  <c r="L256" i="3"/>
  <c r="K256" i="3"/>
  <c r="J256" i="3"/>
  <c r="N255" i="3"/>
  <c r="M255" i="3"/>
  <c r="L255" i="3"/>
  <c r="K255" i="3"/>
  <c r="J255" i="3"/>
  <c r="N254" i="3"/>
  <c r="M254" i="3"/>
  <c r="L254" i="3"/>
  <c r="K254" i="3"/>
  <c r="J254" i="3"/>
  <c r="N253" i="3"/>
  <c r="M253" i="3"/>
  <c r="L253" i="3"/>
  <c r="K253" i="3"/>
  <c r="J253" i="3"/>
  <c r="N252" i="3"/>
  <c r="M252" i="3"/>
  <c r="L252" i="3"/>
  <c r="K252" i="3"/>
  <c r="J252" i="3"/>
  <c r="N251" i="3"/>
  <c r="M251" i="3"/>
  <c r="L251" i="3"/>
  <c r="K251" i="3"/>
  <c r="J251" i="3"/>
  <c r="N250" i="3"/>
  <c r="M250" i="3"/>
  <c r="L250" i="3"/>
  <c r="K250" i="3"/>
  <c r="J250" i="3"/>
  <c r="N249" i="3"/>
  <c r="M249" i="3"/>
  <c r="L249" i="3"/>
  <c r="K249" i="3"/>
  <c r="J249" i="3"/>
  <c r="N248" i="3"/>
  <c r="M248" i="3"/>
  <c r="L248" i="3"/>
  <c r="K248" i="3"/>
  <c r="J248" i="3"/>
  <c r="N247" i="3"/>
  <c r="M247" i="3"/>
  <c r="L247" i="3"/>
  <c r="K247" i="3"/>
  <c r="J247" i="3"/>
  <c r="N246" i="3"/>
  <c r="M246" i="3"/>
  <c r="L246" i="3"/>
  <c r="K246" i="3"/>
  <c r="J246" i="3"/>
  <c r="N245" i="3"/>
  <c r="M245" i="3"/>
  <c r="L245" i="3"/>
  <c r="K245" i="3"/>
  <c r="J245" i="3"/>
  <c r="N244" i="3"/>
  <c r="M244" i="3"/>
  <c r="L244" i="3"/>
  <c r="K244" i="3"/>
  <c r="J244" i="3"/>
  <c r="N243" i="3"/>
  <c r="M243" i="3"/>
  <c r="L243" i="3"/>
  <c r="K243" i="3"/>
  <c r="J243" i="3"/>
  <c r="N242" i="3"/>
  <c r="M242" i="3"/>
  <c r="L242" i="3"/>
  <c r="K242" i="3"/>
  <c r="J242" i="3"/>
  <c r="N241" i="3"/>
  <c r="M241" i="3"/>
  <c r="L241" i="3"/>
  <c r="K241" i="3"/>
  <c r="J241" i="3"/>
  <c r="N240" i="3"/>
  <c r="M240" i="3"/>
  <c r="L240" i="3"/>
  <c r="K240" i="3"/>
  <c r="J240" i="3"/>
  <c r="N239" i="3"/>
  <c r="M239" i="3"/>
  <c r="L239" i="3"/>
  <c r="K239" i="3"/>
  <c r="J239" i="3"/>
  <c r="N238" i="3"/>
  <c r="M238" i="3"/>
  <c r="L238" i="3"/>
  <c r="K238" i="3"/>
  <c r="J238" i="3"/>
  <c r="N237" i="3"/>
  <c r="M237" i="3"/>
  <c r="L237" i="3"/>
  <c r="K237" i="3"/>
  <c r="J237" i="3"/>
  <c r="N236" i="3"/>
  <c r="M236" i="3"/>
  <c r="L236" i="3"/>
  <c r="K236" i="3"/>
  <c r="J236" i="3"/>
  <c r="N235" i="3"/>
  <c r="M235" i="3"/>
  <c r="L235" i="3"/>
  <c r="K235" i="3"/>
  <c r="J235" i="3"/>
  <c r="N234" i="3"/>
  <c r="M234" i="3"/>
  <c r="L234" i="3"/>
  <c r="K234" i="3"/>
  <c r="J234" i="3"/>
  <c r="N233" i="3"/>
  <c r="M233" i="3"/>
  <c r="L233" i="3"/>
  <c r="K233" i="3"/>
  <c r="J233" i="3"/>
  <c r="N232" i="3"/>
  <c r="M232" i="3"/>
  <c r="L232" i="3"/>
  <c r="K232" i="3"/>
  <c r="J232" i="3"/>
  <c r="N231" i="3"/>
  <c r="M231" i="3"/>
  <c r="L231" i="3"/>
  <c r="K231" i="3"/>
  <c r="J231" i="3"/>
  <c r="N230" i="3"/>
  <c r="M230" i="3"/>
  <c r="L230" i="3"/>
  <c r="K230" i="3"/>
  <c r="J230" i="3"/>
  <c r="N229" i="3"/>
  <c r="M229" i="3"/>
  <c r="L229" i="3"/>
  <c r="K229" i="3"/>
  <c r="J229" i="3"/>
  <c r="N228" i="3"/>
  <c r="M228" i="3"/>
  <c r="L228" i="3"/>
  <c r="K228" i="3"/>
  <c r="J228" i="3"/>
  <c r="N227" i="3"/>
  <c r="M227" i="3"/>
  <c r="L227" i="3"/>
  <c r="K227" i="3"/>
  <c r="J227" i="3"/>
  <c r="N226" i="3"/>
  <c r="M226" i="3"/>
  <c r="L226" i="3"/>
  <c r="K226" i="3"/>
  <c r="J226" i="3"/>
  <c r="N225" i="3"/>
  <c r="M225" i="3"/>
  <c r="L225" i="3"/>
  <c r="K225" i="3"/>
  <c r="J225" i="3"/>
  <c r="N224" i="3"/>
  <c r="M224" i="3"/>
  <c r="L224" i="3"/>
  <c r="K224" i="3"/>
  <c r="J224" i="3"/>
  <c r="N223" i="3"/>
  <c r="M223" i="3"/>
  <c r="L223" i="3"/>
  <c r="K223" i="3"/>
  <c r="J223" i="3"/>
  <c r="N222" i="3"/>
  <c r="M222" i="3"/>
  <c r="L222" i="3"/>
  <c r="K222" i="3"/>
  <c r="J222" i="3"/>
  <c r="N221" i="3"/>
  <c r="M221" i="3"/>
  <c r="L221" i="3"/>
  <c r="K221" i="3"/>
  <c r="J221" i="3"/>
  <c r="N220" i="3"/>
  <c r="M220" i="3"/>
  <c r="L220" i="3"/>
  <c r="K220" i="3"/>
  <c r="J220" i="3"/>
  <c r="N219" i="3"/>
  <c r="M219" i="3"/>
  <c r="L219" i="3"/>
  <c r="K219" i="3"/>
  <c r="J219" i="3"/>
  <c r="N218" i="3"/>
  <c r="M218" i="3"/>
  <c r="L218" i="3"/>
  <c r="K218" i="3"/>
  <c r="J218" i="3"/>
  <c r="N217" i="3"/>
  <c r="M217" i="3"/>
  <c r="L217" i="3"/>
  <c r="K217" i="3"/>
  <c r="J217" i="3"/>
  <c r="N216" i="3"/>
  <c r="M216" i="3"/>
  <c r="L216" i="3"/>
  <c r="K216" i="3"/>
  <c r="J216" i="3"/>
  <c r="N215" i="3"/>
  <c r="M215" i="3"/>
  <c r="L215" i="3"/>
  <c r="K215" i="3"/>
  <c r="J215" i="3"/>
  <c r="N214" i="3"/>
  <c r="M214" i="3"/>
  <c r="L214" i="3"/>
  <c r="K214" i="3"/>
  <c r="J214" i="3"/>
  <c r="N213" i="3"/>
  <c r="M213" i="3"/>
  <c r="L213" i="3"/>
  <c r="K213" i="3"/>
  <c r="J213" i="3"/>
  <c r="N212" i="3"/>
  <c r="M212" i="3"/>
  <c r="L212" i="3"/>
  <c r="K212" i="3"/>
  <c r="J212" i="3"/>
  <c r="N211" i="3"/>
  <c r="M211" i="3"/>
  <c r="L211" i="3"/>
  <c r="K211" i="3"/>
  <c r="J211" i="3"/>
  <c r="N210" i="3"/>
  <c r="M210" i="3"/>
  <c r="L210" i="3"/>
  <c r="K210" i="3"/>
  <c r="J210" i="3"/>
  <c r="N209" i="3"/>
  <c r="M209" i="3"/>
  <c r="L209" i="3"/>
  <c r="K209" i="3"/>
  <c r="J209" i="3"/>
  <c r="N208" i="3"/>
  <c r="M208" i="3"/>
  <c r="L208" i="3"/>
  <c r="K208" i="3"/>
  <c r="J208" i="3"/>
  <c r="N207" i="3"/>
  <c r="M207" i="3"/>
  <c r="L207" i="3"/>
  <c r="K207" i="3"/>
  <c r="J207" i="3"/>
  <c r="N206" i="3"/>
  <c r="M206" i="3"/>
  <c r="L206" i="3"/>
  <c r="K206" i="3"/>
  <c r="J206" i="3"/>
  <c r="N205" i="3"/>
  <c r="M205" i="3"/>
  <c r="L205" i="3"/>
  <c r="K205" i="3"/>
  <c r="J205" i="3"/>
  <c r="N204" i="3"/>
  <c r="M204" i="3"/>
  <c r="L204" i="3"/>
  <c r="K204" i="3"/>
  <c r="J204" i="3"/>
  <c r="N203" i="3"/>
  <c r="M203" i="3"/>
  <c r="L203" i="3"/>
  <c r="K203" i="3"/>
  <c r="J203" i="3"/>
  <c r="N202" i="3"/>
  <c r="M202" i="3"/>
  <c r="L202" i="3"/>
  <c r="K202" i="3"/>
  <c r="J202" i="3"/>
  <c r="N201" i="3"/>
  <c r="M201" i="3"/>
  <c r="L201" i="3"/>
  <c r="K201" i="3"/>
  <c r="J201" i="3"/>
  <c r="N200" i="3"/>
  <c r="M200" i="3"/>
  <c r="L200" i="3"/>
  <c r="K200" i="3"/>
  <c r="J200" i="3"/>
  <c r="N199" i="3"/>
  <c r="M199" i="3"/>
  <c r="L199" i="3"/>
  <c r="K199" i="3"/>
  <c r="J199" i="3"/>
  <c r="N198" i="3"/>
  <c r="M198" i="3"/>
  <c r="L198" i="3"/>
  <c r="K198" i="3"/>
  <c r="J198" i="3"/>
  <c r="N197" i="3"/>
  <c r="M197" i="3"/>
  <c r="L197" i="3"/>
  <c r="K197" i="3"/>
  <c r="J197" i="3"/>
  <c r="N196" i="3"/>
  <c r="M196" i="3"/>
  <c r="L196" i="3"/>
  <c r="K196" i="3"/>
  <c r="J196" i="3"/>
  <c r="N195" i="3"/>
  <c r="M195" i="3"/>
  <c r="L195" i="3"/>
  <c r="K195" i="3"/>
  <c r="J195" i="3"/>
  <c r="N194" i="3"/>
  <c r="M194" i="3"/>
  <c r="L194" i="3"/>
  <c r="K194" i="3"/>
  <c r="J194" i="3"/>
  <c r="N193" i="3"/>
  <c r="M193" i="3"/>
  <c r="L193" i="3"/>
  <c r="K193" i="3"/>
  <c r="J193" i="3"/>
  <c r="N192" i="3"/>
  <c r="M192" i="3"/>
  <c r="L192" i="3"/>
  <c r="K192" i="3"/>
  <c r="J192" i="3"/>
  <c r="N191" i="3"/>
  <c r="M191" i="3"/>
  <c r="L191" i="3"/>
  <c r="K191" i="3"/>
  <c r="J191" i="3"/>
  <c r="N190" i="3"/>
  <c r="M190" i="3"/>
  <c r="L190" i="3"/>
  <c r="K190" i="3"/>
  <c r="J190" i="3"/>
  <c r="N189" i="3"/>
  <c r="M189" i="3"/>
  <c r="L189" i="3"/>
  <c r="K189" i="3"/>
  <c r="J189" i="3"/>
  <c r="N188" i="3"/>
  <c r="M188" i="3"/>
  <c r="L188" i="3"/>
  <c r="K188" i="3"/>
  <c r="J188" i="3"/>
  <c r="N187" i="3"/>
  <c r="M187" i="3"/>
  <c r="L187" i="3"/>
  <c r="K187" i="3"/>
  <c r="J187" i="3"/>
  <c r="N186" i="3"/>
  <c r="M186" i="3"/>
  <c r="L186" i="3"/>
  <c r="K186" i="3"/>
  <c r="J186" i="3"/>
  <c r="N185" i="3"/>
  <c r="M185" i="3"/>
  <c r="L185" i="3"/>
  <c r="K185" i="3"/>
  <c r="J185" i="3"/>
  <c r="N184" i="3"/>
  <c r="M184" i="3"/>
  <c r="L184" i="3"/>
  <c r="K184" i="3"/>
  <c r="J184" i="3"/>
  <c r="N183" i="3"/>
  <c r="M183" i="3"/>
  <c r="L183" i="3"/>
  <c r="K183" i="3"/>
  <c r="J183" i="3"/>
  <c r="N182" i="3"/>
  <c r="M182" i="3"/>
  <c r="L182" i="3"/>
  <c r="K182" i="3"/>
  <c r="J182" i="3"/>
  <c r="N181" i="3"/>
  <c r="M181" i="3"/>
  <c r="L181" i="3"/>
  <c r="K181" i="3"/>
  <c r="J181" i="3"/>
  <c r="N180" i="3"/>
  <c r="M180" i="3"/>
  <c r="L180" i="3"/>
  <c r="K180" i="3"/>
  <c r="J180" i="3"/>
  <c r="N179" i="3"/>
  <c r="M179" i="3"/>
  <c r="L179" i="3"/>
  <c r="K179" i="3"/>
  <c r="J179" i="3"/>
  <c r="N178" i="3"/>
  <c r="M178" i="3"/>
  <c r="L178" i="3"/>
  <c r="K178" i="3"/>
  <c r="J178" i="3"/>
  <c r="N177" i="3"/>
  <c r="M177" i="3"/>
  <c r="L177" i="3"/>
  <c r="K177" i="3"/>
  <c r="J177" i="3"/>
  <c r="N176" i="3"/>
  <c r="M176" i="3"/>
  <c r="L176" i="3"/>
  <c r="K176" i="3"/>
  <c r="J176" i="3"/>
  <c r="N175" i="3"/>
  <c r="M175" i="3"/>
  <c r="L175" i="3"/>
  <c r="K175" i="3"/>
  <c r="J175" i="3"/>
  <c r="N174" i="3"/>
  <c r="M174" i="3"/>
  <c r="L174" i="3"/>
  <c r="K174" i="3"/>
  <c r="J174" i="3"/>
  <c r="N173" i="3"/>
  <c r="M173" i="3"/>
  <c r="L173" i="3"/>
  <c r="K173" i="3"/>
  <c r="J173" i="3"/>
  <c r="N172" i="3"/>
  <c r="M172" i="3"/>
  <c r="L172" i="3"/>
  <c r="K172" i="3"/>
  <c r="J172" i="3"/>
  <c r="N171" i="3"/>
  <c r="M171" i="3"/>
  <c r="L171" i="3"/>
  <c r="K171" i="3"/>
  <c r="J171" i="3"/>
  <c r="N170" i="3"/>
  <c r="M170" i="3"/>
  <c r="L170" i="3"/>
  <c r="K170" i="3"/>
  <c r="J170" i="3"/>
  <c r="N169" i="3"/>
  <c r="M169" i="3"/>
  <c r="L169" i="3"/>
  <c r="K169" i="3"/>
  <c r="J169" i="3"/>
  <c r="N168" i="3"/>
  <c r="M168" i="3"/>
  <c r="L168" i="3"/>
  <c r="K168" i="3"/>
  <c r="J168" i="3"/>
  <c r="N167" i="3"/>
  <c r="M167" i="3"/>
  <c r="L167" i="3"/>
  <c r="K167" i="3"/>
  <c r="J167" i="3"/>
  <c r="N166" i="3"/>
  <c r="M166" i="3"/>
  <c r="L166" i="3"/>
  <c r="K166" i="3"/>
  <c r="J166" i="3"/>
  <c r="N165" i="3"/>
  <c r="M165" i="3"/>
  <c r="L165" i="3"/>
  <c r="K165" i="3"/>
  <c r="J165" i="3"/>
  <c r="N164" i="3"/>
  <c r="M164" i="3"/>
  <c r="L164" i="3"/>
  <c r="K164" i="3"/>
  <c r="J164" i="3"/>
  <c r="N163" i="3"/>
  <c r="M163" i="3"/>
  <c r="L163" i="3"/>
  <c r="K163" i="3"/>
  <c r="J163" i="3"/>
  <c r="N162" i="3"/>
  <c r="M162" i="3"/>
  <c r="L162" i="3"/>
  <c r="K162" i="3"/>
  <c r="J162" i="3"/>
  <c r="N161" i="3"/>
  <c r="M161" i="3"/>
  <c r="L161" i="3"/>
  <c r="K161" i="3"/>
  <c r="J161" i="3"/>
  <c r="N160" i="3"/>
  <c r="M160" i="3"/>
  <c r="L160" i="3"/>
  <c r="K160" i="3"/>
  <c r="J160" i="3"/>
  <c r="N159" i="3"/>
  <c r="M159" i="3"/>
  <c r="L159" i="3"/>
  <c r="K159" i="3"/>
  <c r="J159" i="3"/>
  <c r="N158" i="3"/>
  <c r="M158" i="3"/>
  <c r="L158" i="3"/>
  <c r="K158" i="3"/>
  <c r="J158" i="3"/>
  <c r="N157" i="3"/>
  <c r="M157" i="3"/>
  <c r="L157" i="3"/>
  <c r="K157" i="3"/>
  <c r="J157" i="3"/>
  <c r="N156" i="3"/>
  <c r="M156" i="3"/>
  <c r="L156" i="3"/>
  <c r="K156" i="3"/>
  <c r="J156" i="3"/>
  <c r="N155" i="3"/>
  <c r="M155" i="3"/>
  <c r="L155" i="3"/>
  <c r="K155" i="3"/>
  <c r="J155" i="3"/>
  <c r="N154" i="3"/>
  <c r="M154" i="3"/>
  <c r="L154" i="3"/>
  <c r="K154" i="3"/>
  <c r="J154" i="3"/>
  <c r="N153" i="3"/>
  <c r="M153" i="3"/>
  <c r="L153" i="3"/>
  <c r="K153" i="3"/>
  <c r="J153" i="3"/>
  <c r="N152" i="3"/>
  <c r="M152" i="3"/>
  <c r="L152" i="3"/>
  <c r="K152" i="3"/>
  <c r="J152" i="3"/>
  <c r="N151" i="3"/>
  <c r="M151" i="3"/>
  <c r="L151" i="3"/>
  <c r="K151" i="3"/>
  <c r="J151" i="3"/>
  <c r="N150" i="3"/>
  <c r="M150" i="3"/>
  <c r="L150" i="3"/>
  <c r="K150" i="3"/>
  <c r="J150" i="3"/>
  <c r="N149" i="3"/>
  <c r="M149" i="3"/>
  <c r="L149" i="3"/>
  <c r="K149" i="3"/>
  <c r="J149" i="3"/>
  <c r="N148" i="3"/>
  <c r="M148" i="3"/>
  <c r="L148" i="3"/>
  <c r="K148" i="3"/>
  <c r="J148" i="3"/>
  <c r="N147" i="3"/>
  <c r="M147" i="3"/>
  <c r="L147" i="3"/>
  <c r="K147" i="3"/>
  <c r="J147" i="3"/>
  <c r="N146" i="3"/>
  <c r="M146" i="3"/>
  <c r="L146" i="3"/>
  <c r="K146" i="3"/>
  <c r="J146" i="3"/>
  <c r="N145" i="3"/>
  <c r="M145" i="3"/>
  <c r="L145" i="3"/>
  <c r="K145" i="3"/>
  <c r="J145" i="3"/>
  <c r="N144" i="3"/>
  <c r="M144" i="3"/>
  <c r="L144" i="3"/>
  <c r="K144" i="3"/>
  <c r="J144" i="3"/>
  <c r="N143" i="3"/>
  <c r="M143" i="3"/>
  <c r="L143" i="3"/>
  <c r="K143" i="3"/>
  <c r="J143" i="3"/>
  <c r="N142" i="3"/>
  <c r="M142" i="3"/>
  <c r="L142" i="3"/>
  <c r="K142" i="3"/>
  <c r="J142" i="3"/>
  <c r="N141" i="3"/>
  <c r="M141" i="3"/>
  <c r="L141" i="3"/>
  <c r="K141" i="3"/>
  <c r="J141" i="3"/>
  <c r="N140" i="3"/>
  <c r="M140" i="3"/>
  <c r="L140" i="3"/>
  <c r="K140" i="3"/>
  <c r="J140" i="3"/>
  <c r="N139" i="3"/>
  <c r="M139" i="3"/>
  <c r="L139" i="3"/>
  <c r="K139" i="3"/>
  <c r="J139" i="3"/>
  <c r="N138" i="3"/>
  <c r="M138" i="3"/>
  <c r="L138" i="3"/>
  <c r="K138" i="3"/>
  <c r="J138" i="3"/>
  <c r="N137" i="3"/>
  <c r="M137" i="3"/>
  <c r="L137" i="3"/>
  <c r="K137" i="3"/>
  <c r="J137" i="3"/>
  <c r="N136" i="3"/>
  <c r="M136" i="3"/>
  <c r="L136" i="3"/>
  <c r="K136" i="3"/>
  <c r="J136" i="3"/>
  <c r="N135" i="3"/>
  <c r="M135" i="3"/>
  <c r="L135" i="3"/>
  <c r="K135" i="3"/>
  <c r="J135" i="3"/>
  <c r="N134" i="3"/>
  <c r="M134" i="3"/>
  <c r="L134" i="3"/>
  <c r="K134" i="3"/>
  <c r="J134" i="3"/>
  <c r="N133" i="3"/>
  <c r="M133" i="3"/>
  <c r="L133" i="3"/>
  <c r="K133" i="3"/>
  <c r="J133" i="3"/>
  <c r="N132" i="3"/>
  <c r="M132" i="3"/>
  <c r="L132" i="3"/>
  <c r="K132" i="3"/>
  <c r="J132" i="3"/>
  <c r="N131" i="3"/>
  <c r="M131" i="3"/>
  <c r="L131" i="3"/>
  <c r="K131" i="3"/>
  <c r="J131" i="3"/>
  <c r="N130" i="3"/>
  <c r="M130" i="3"/>
  <c r="L130" i="3"/>
  <c r="K130" i="3"/>
  <c r="J130" i="3"/>
  <c r="N129" i="3"/>
  <c r="M129" i="3"/>
  <c r="L129" i="3"/>
  <c r="K129" i="3"/>
  <c r="J129" i="3"/>
  <c r="N128" i="3"/>
  <c r="M128" i="3"/>
  <c r="L128" i="3"/>
  <c r="K128" i="3"/>
  <c r="J128" i="3"/>
  <c r="N127" i="3"/>
  <c r="M127" i="3"/>
  <c r="L127" i="3"/>
  <c r="K127" i="3"/>
  <c r="J127" i="3"/>
  <c r="N126" i="3"/>
  <c r="M126" i="3"/>
  <c r="L126" i="3"/>
  <c r="K126" i="3"/>
  <c r="J126" i="3"/>
  <c r="N125" i="3"/>
  <c r="M125" i="3"/>
  <c r="L125" i="3"/>
  <c r="K125" i="3"/>
  <c r="J125" i="3"/>
  <c r="N124" i="3"/>
  <c r="M124" i="3"/>
  <c r="L124" i="3"/>
  <c r="K124" i="3"/>
  <c r="J124" i="3"/>
  <c r="N123" i="3"/>
  <c r="M123" i="3"/>
  <c r="L123" i="3"/>
  <c r="K123" i="3"/>
  <c r="J123" i="3"/>
  <c r="N122" i="3"/>
  <c r="M122" i="3"/>
  <c r="L122" i="3"/>
  <c r="K122" i="3"/>
  <c r="J122" i="3"/>
  <c r="N121" i="3"/>
  <c r="M121" i="3"/>
  <c r="L121" i="3"/>
  <c r="K121" i="3"/>
  <c r="J121" i="3"/>
  <c r="N120" i="3"/>
  <c r="M120" i="3"/>
  <c r="L120" i="3"/>
  <c r="K120" i="3"/>
  <c r="J120" i="3"/>
  <c r="N119" i="3"/>
  <c r="M119" i="3"/>
  <c r="L119" i="3"/>
  <c r="K119" i="3"/>
  <c r="J119" i="3"/>
  <c r="N118" i="3"/>
  <c r="M118" i="3"/>
  <c r="L118" i="3"/>
  <c r="K118" i="3"/>
  <c r="J118" i="3"/>
  <c r="N117" i="3"/>
  <c r="M117" i="3"/>
  <c r="L117" i="3"/>
  <c r="K117" i="3"/>
  <c r="J117" i="3"/>
  <c r="N116" i="3"/>
  <c r="M116" i="3"/>
  <c r="L116" i="3"/>
  <c r="K116" i="3"/>
  <c r="J116" i="3"/>
  <c r="N115" i="3"/>
  <c r="M115" i="3"/>
  <c r="L115" i="3"/>
  <c r="K115" i="3"/>
  <c r="J115" i="3"/>
  <c r="N114" i="3"/>
  <c r="M114" i="3"/>
  <c r="L114" i="3"/>
  <c r="K114" i="3"/>
  <c r="J114" i="3"/>
  <c r="N113" i="3"/>
  <c r="M113" i="3"/>
  <c r="L113" i="3"/>
  <c r="K113" i="3"/>
  <c r="J113" i="3"/>
  <c r="N112" i="3"/>
  <c r="M112" i="3"/>
  <c r="L112" i="3"/>
  <c r="K112" i="3"/>
  <c r="J112" i="3"/>
  <c r="N111" i="3"/>
  <c r="M111" i="3"/>
  <c r="L111" i="3"/>
  <c r="K111" i="3"/>
  <c r="J111" i="3"/>
  <c r="N110" i="3"/>
  <c r="M110" i="3"/>
  <c r="L110" i="3"/>
  <c r="K110" i="3"/>
  <c r="J110" i="3"/>
  <c r="N109" i="3"/>
  <c r="M109" i="3"/>
  <c r="L109" i="3"/>
  <c r="K109" i="3"/>
  <c r="J109" i="3"/>
  <c r="N108" i="3"/>
  <c r="M108" i="3"/>
  <c r="L108" i="3"/>
  <c r="K108" i="3"/>
  <c r="J108" i="3"/>
  <c r="N107" i="3"/>
  <c r="M107" i="3"/>
  <c r="L107" i="3"/>
  <c r="K107" i="3"/>
  <c r="J107" i="3"/>
  <c r="N106" i="3"/>
  <c r="M106" i="3"/>
  <c r="L106" i="3"/>
  <c r="K106" i="3"/>
  <c r="J106" i="3"/>
  <c r="N105" i="3"/>
  <c r="M105" i="3"/>
  <c r="L105" i="3"/>
  <c r="K105" i="3"/>
  <c r="J105" i="3"/>
  <c r="N104" i="3"/>
  <c r="M104" i="3"/>
  <c r="L104" i="3"/>
  <c r="K104" i="3"/>
  <c r="J104" i="3"/>
  <c r="N103" i="3"/>
  <c r="M103" i="3"/>
  <c r="L103" i="3"/>
  <c r="K103" i="3"/>
  <c r="J103" i="3"/>
  <c r="N102" i="3"/>
  <c r="M102" i="3"/>
  <c r="L102" i="3"/>
  <c r="K102" i="3"/>
  <c r="J102" i="3"/>
  <c r="N101" i="3"/>
  <c r="M101" i="3"/>
  <c r="L101" i="3"/>
  <c r="K101" i="3"/>
  <c r="J101" i="3"/>
  <c r="N100" i="3"/>
  <c r="M100" i="3"/>
  <c r="L100" i="3"/>
  <c r="K100" i="3"/>
  <c r="J100" i="3"/>
  <c r="N99" i="3"/>
  <c r="M99" i="3"/>
  <c r="L99" i="3"/>
  <c r="K99" i="3"/>
  <c r="J99" i="3"/>
  <c r="N98" i="3"/>
  <c r="M98" i="3"/>
  <c r="L98" i="3"/>
  <c r="K98" i="3"/>
  <c r="J98" i="3"/>
  <c r="N97" i="3"/>
  <c r="M97" i="3"/>
  <c r="L97" i="3"/>
  <c r="K97" i="3"/>
  <c r="J97" i="3"/>
  <c r="N96" i="3"/>
  <c r="M96" i="3"/>
  <c r="L96" i="3"/>
  <c r="K96" i="3"/>
  <c r="J96" i="3"/>
  <c r="N95" i="3"/>
  <c r="M95" i="3"/>
  <c r="L95" i="3"/>
  <c r="K95" i="3"/>
  <c r="J95" i="3"/>
  <c r="N94" i="3"/>
  <c r="M94" i="3"/>
  <c r="L94" i="3"/>
  <c r="K94" i="3"/>
  <c r="J94" i="3"/>
  <c r="N93" i="3"/>
  <c r="M93" i="3"/>
  <c r="L93" i="3"/>
  <c r="K93" i="3"/>
  <c r="J93" i="3"/>
  <c r="N92" i="3"/>
  <c r="M92" i="3"/>
  <c r="L92" i="3"/>
  <c r="K92" i="3"/>
  <c r="J92" i="3"/>
  <c r="N91" i="3"/>
  <c r="M91" i="3"/>
  <c r="L91" i="3"/>
  <c r="K91" i="3"/>
  <c r="J91" i="3"/>
  <c r="N90" i="3"/>
  <c r="M90" i="3"/>
  <c r="L90" i="3"/>
  <c r="K90" i="3"/>
  <c r="J90" i="3"/>
  <c r="N89" i="3"/>
  <c r="M89" i="3"/>
  <c r="L89" i="3"/>
  <c r="K89" i="3"/>
  <c r="J89" i="3"/>
  <c r="N88" i="3"/>
  <c r="M88" i="3"/>
  <c r="L88" i="3"/>
  <c r="K88" i="3"/>
  <c r="J88" i="3"/>
  <c r="N87" i="3"/>
  <c r="M87" i="3"/>
  <c r="L87" i="3"/>
  <c r="K87" i="3"/>
  <c r="J87" i="3"/>
  <c r="N86" i="3"/>
  <c r="M86" i="3"/>
  <c r="L86" i="3"/>
  <c r="K86" i="3"/>
  <c r="J86" i="3"/>
  <c r="N85" i="3"/>
  <c r="M85" i="3"/>
  <c r="L85" i="3"/>
  <c r="K85" i="3"/>
  <c r="J85" i="3"/>
  <c r="N84" i="3"/>
  <c r="M84" i="3"/>
  <c r="L84" i="3"/>
  <c r="K84" i="3"/>
  <c r="J84" i="3"/>
  <c r="N83" i="3"/>
  <c r="M83" i="3"/>
  <c r="L83" i="3"/>
  <c r="K83" i="3"/>
  <c r="J83" i="3"/>
  <c r="N82" i="3"/>
  <c r="M82" i="3"/>
  <c r="L82" i="3"/>
  <c r="K82" i="3"/>
  <c r="J82" i="3"/>
  <c r="N81" i="3"/>
  <c r="M81" i="3"/>
  <c r="L81" i="3"/>
  <c r="K81" i="3"/>
  <c r="J81" i="3"/>
  <c r="N80" i="3"/>
  <c r="M80" i="3"/>
  <c r="L80" i="3"/>
  <c r="K80" i="3"/>
  <c r="J80" i="3"/>
  <c r="N79" i="3"/>
  <c r="M79" i="3"/>
  <c r="L79" i="3"/>
  <c r="K79" i="3"/>
  <c r="J79" i="3"/>
  <c r="N78" i="3"/>
  <c r="M78" i="3"/>
  <c r="L78" i="3"/>
  <c r="K78" i="3"/>
  <c r="J78" i="3"/>
  <c r="N77" i="3"/>
  <c r="M77" i="3"/>
  <c r="L77" i="3"/>
  <c r="K77" i="3"/>
  <c r="J77" i="3"/>
  <c r="N76" i="3"/>
  <c r="M76" i="3"/>
  <c r="L76" i="3"/>
  <c r="K76" i="3"/>
  <c r="J76" i="3"/>
  <c r="N75" i="3"/>
  <c r="M75" i="3"/>
  <c r="L75" i="3"/>
  <c r="K75" i="3"/>
  <c r="J75" i="3"/>
  <c r="N74" i="3"/>
  <c r="M74" i="3"/>
  <c r="L74" i="3"/>
  <c r="K74" i="3"/>
  <c r="J74" i="3"/>
  <c r="N73" i="3"/>
  <c r="M73" i="3"/>
  <c r="L73" i="3"/>
  <c r="K73" i="3"/>
  <c r="J73" i="3"/>
  <c r="N72" i="3"/>
  <c r="M72" i="3"/>
  <c r="L72" i="3"/>
  <c r="K72" i="3"/>
  <c r="J72" i="3"/>
  <c r="N71" i="3"/>
  <c r="M71" i="3"/>
  <c r="L71" i="3"/>
  <c r="K71" i="3"/>
  <c r="J71" i="3"/>
  <c r="N70" i="3"/>
  <c r="M70" i="3"/>
  <c r="L70" i="3"/>
  <c r="K70" i="3"/>
  <c r="J70" i="3"/>
  <c r="N69" i="3"/>
  <c r="M69" i="3"/>
  <c r="L69" i="3"/>
  <c r="K69" i="3"/>
  <c r="J69" i="3"/>
  <c r="N68" i="3"/>
  <c r="M68" i="3"/>
  <c r="L68" i="3"/>
  <c r="K68" i="3"/>
  <c r="J68" i="3"/>
  <c r="N67" i="3"/>
  <c r="M67" i="3"/>
  <c r="L67" i="3"/>
  <c r="K67" i="3"/>
  <c r="J67" i="3"/>
  <c r="N66" i="3"/>
  <c r="M66" i="3"/>
  <c r="L66" i="3"/>
  <c r="K66" i="3"/>
  <c r="J66" i="3"/>
  <c r="N65" i="3"/>
  <c r="M65" i="3"/>
  <c r="L65" i="3"/>
  <c r="K65" i="3"/>
  <c r="J65" i="3"/>
  <c r="N64" i="3"/>
  <c r="M64" i="3"/>
  <c r="L64" i="3"/>
  <c r="K64" i="3"/>
  <c r="J64" i="3"/>
  <c r="N63" i="3"/>
  <c r="M63" i="3"/>
  <c r="L63" i="3"/>
  <c r="K63" i="3"/>
  <c r="J63" i="3"/>
  <c r="N62" i="3"/>
  <c r="M62" i="3"/>
  <c r="L62" i="3"/>
  <c r="K62" i="3"/>
  <c r="J62" i="3"/>
  <c r="N61" i="3"/>
  <c r="M61" i="3"/>
  <c r="L61" i="3"/>
  <c r="K61" i="3"/>
  <c r="J61" i="3"/>
  <c r="N60" i="3"/>
  <c r="M60" i="3"/>
  <c r="L60" i="3"/>
  <c r="K60" i="3"/>
  <c r="J60" i="3"/>
  <c r="N59" i="3"/>
  <c r="M59" i="3"/>
  <c r="L59" i="3"/>
  <c r="K59" i="3"/>
  <c r="J59" i="3"/>
  <c r="N58" i="3"/>
  <c r="M58" i="3"/>
  <c r="L58" i="3"/>
  <c r="K58" i="3"/>
  <c r="J58" i="3"/>
  <c r="N57" i="3"/>
  <c r="M57" i="3"/>
  <c r="L57" i="3"/>
  <c r="K57" i="3"/>
  <c r="J57" i="3"/>
  <c r="N56" i="3"/>
  <c r="M56" i="3"/>
  <c r="L56" i="3"/>
  <c r="K56" i="3"/>
  <c r="J56" i="3"/>
  <c r="N55" i="3"/>
  <c r="M55" i="3"/>
  <c r="L55" i="3"/>
  <c r="K55" i="3"/>
  <c r="J55" i="3"/>
  <c r="N54" i="3"/>
  <c r="M54" i="3"/>
  <c r="L54" i="3"/>
  <c r="K54" i="3"/>
  <c r="J54" i="3"/>
  <c r="N53" i="3"/>
  <c r="M53" i="3"/>
  <c r="L53" i="3"/>
  <c r="K53" i="3"/>
  <c r="J53" i="3"/>
  <c r="N52" i="3"/>
  <c r="M52" i="3"/>
  <c r="L52" i="3"/>
  <c r="K52" i="3"/>
  <c r="J52" i="3"/>
  <c r="N51" i="3"/>
  <c r="M51" i="3"/>
  <c r="L51" i="3"/>
  <c r="K51" i="3"/>
  <c r="J51" i="3"/>
  <c r="N50" i="3"/>
  <c r="M50" i="3"/>
  <c r="L50" i="3"/>
  <c r="K50" i="3"/>
  <c r="J50" i="3"/>
  <c r="N49" i="3"/>
  <c r="M49" i="3"/>
  <c r="L49" i="3"/>
  <c r="K49" i="3"/>
  <c r="J49" i="3"/>
  <c r="N48" i="3"/>
  <c r="M48" i="3"/>
  <c r="L48" i="3"/>
  <c r="K48" i="3"/>
  <c r="J48" i="3"/>
  <c r="N47" i="3"/>
  <c r="M47" i="3"/>
  <c r="L47" i="3"/>
  <c r="K47" i="3"/>
  <c r="J47" i="3"/>
  <c r="N46" i="3"/>
  <c r="M46" i="3"/>
  <c r="L46" i="3"/>
  <c r="K46" i="3"/>
  <c r="J46" i="3"/>
  <c r="N45" i="3"/>
  <c r="M45" i="3"/>
  <c r="L45" i="3"/>
  <c r="K45" i="3"/>
  <c r="J45" i="3"/>
  <c r="N44" i="3"/>
  <c r="M44" i="3"/>
  <c r="L44" i="3"/>
  <c r="K44" i="3"/>
  <c r="J44" i="3"/>
  <c r="N43" i="3"/>
  <c r="M43" i="3"/>
  <c r="L43" i="3"/>
  <c r="K43" i="3"/>
  <c r="J43" i="3"/>
  <c r="N42" i="3"/>
  <c r="M42" i="3"/>
  <c r="L42" i="3"/>
  <c r="K42" i="3"/>
  <c r="J42" i="3"/>
  <c r="N41" i="3"/>
  <c r="M41" i="3"/>
  <c r="L41" i="3"/>
  <c r="K41" i="3"/>
  <c r="J41" i="3"/>
  <c r="N40" i="3"/>
  <c r="M40" i="3"/>
  <c r="L40" i="3"/>
  <c r="K40" i="3"/>
  <c r="J40" i="3"/>
  <c r="N39" i="3"/>
  <c r="M39" i="3"/>
  <c r="L39" i="3"/>
  <c r="K39" i="3"/>
  <c r="J39" i="3"/>
  <c r="N38" i="3"/>
  <c r="M38" i="3"/>
  <c r="L38" i="3"/>
  <c r="K38" i="3"/>
  <c r="J38" i="3"/>
  <c r="N37" i="3"/>
  <c r="M37" i="3"/>
  <c r="L37" i="3"/>
  <c r="K37" i="3"/>
  <c r="J37" i="3"/>
  <c r="N36" i="3"/>
  <c r="M36" i="3"/>
  <c r="L36" i="3"/>
  <c r="K36" i="3"/>
  <c r="J36" i="3"/>
  <c r="N35" i="3"/>
  <c r="M35" i="3"/>
  <c r="L35" i="3"/>
  <c r="K35" i="3"/>
  <c r="J35" i="3"/>
  <c r="N34" i="3"/>
  <c r="M34" i="3"/>
  <c r="L34" i="3"/>
  <c r="K34" i="3"/>
  <c r="J34" i="3"/>
  <c r="N33" i="3"/>
  <c r="M33" i="3"/>
  <c r="L33" i="3"/>
  <c r="K33" i="3"/>
  <c r="J33" i="3"/>
  <c r="N32" i="3"/>
  <c r="M32" i="3"/>
  <c r="L32" i="3"/>
  <c r="K32" i="3"/>
  <c r="J32" i="3"/>
  <c r="N31" i="3"/>
  <c r="M31" i="3"/>
  <c r="L31" i="3"/>
  <c r="K31" i="3"/>
  <c r="J31" i="3"/>
  <c r="N30" i="3"/>
  <c r="M30" i="3"/>
  <c r="L30" i="3"/>
  <c r="K30" i="3"/>
  <c r="J30" i="3"/>
  <c r="N29" i="3"/>
  <c r="M29" i="3"/>
  <c r="L29" i="3"/>
  <c r="K29" i="3"/>
  <c r="J29" i="3"/>
  <c r="N28" i="3"/>
  <c r="M28" i="3"/>
  <c r="L28" i="3"/>
  <c r="K28" i="3"/>
  <c r="J28" i="3"/>
  <c r="N27" i="3"/>
  <c r="M27" i="3"/>
  <c r="L27" i="3"/>
  <c r="K27" i="3"/>
  <c r="J27" i="3"/>
  <c r="N26" i="3"/>
  <c r="M26" i="3"/>
  <c r="L26" i="3"/>
  <c r="K26" i="3"/>
  <c r="J26" i="3"/>
  <c r="N25" i="3"/>
  <c r="M25" i="3"/>
  <c r="L25" i="3"/>
  <c r="K25" i="3"/>
  <c r="J25" i="3"/>
  <c r="N24" i="3"/>
  <c r="M24" i="3"/>
  <c r="L24" i="3"/>
  <c r="K24" i="3"/>
  <c r="J24" i="3"/>
  <c r="N23" i="3"/>
  <c r="M23" i="3"/>
  <c r="L23" i="3"/>
  <c r="K23" i="3"/>
  <c r="J23" i="3"/>
  <c r="N22" i="3"/>
  <c r="M22" i="3"/>
  <c r="L22" i="3"/>
  <c r="K22" i="3"/>
  <c r="J22" i="3"/>
  <c r="N21" i="3"/>
  <c r="M21" i="3"/>
  <c r="L21" i="3"/>
  <c r="K21" i="3"/>
  <c r="J21" i="3"/>
  <c r="N20" i="3"/>
  <c r="M20" i="3"/>
  <c r="L20" i="3"/>
  <c r="K20" i="3"/>
  <c r="J20" i="3"/>
  <c r="N19" i="3"/>
  <c r="M19" i="3"/>
  <c r="L19" i="3"/>
  <c r="K19" i="3"/>
  <c r="J19" i="3"/>
  <c r="N18" i="3"/>
  <c r="M18" i="3"/>
  <c r="L18" i="3"/>
  <c r="K18" i="3"/>
  <c r="J18" i="3"/>
  <c r="N17" i="3"/>
  <c r="M17" i="3"/>
  <c r="L17" i="3"/>
  <c r="K17" i="3"/>
  <c r="J17" i="3"/>
  <c r="N16" i="3"/>
  <c r="M16" i="3"/>
  <c r="L16" i="3"/>
  <c r="K16" i="3"/>
  <c r="J16" i="3"/>
  <c r="N15" i="3"/>
  <c r="M15" i="3"/>
  <c r="L15" i="3"/>
  <c r="K15" i="3"/>
  <c r="J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L10" i="3"/>
  <c r="K10" i="3"/>
  <c r="J10" i="3"/>
  <c r="N9" i="3"/>
  <c r="M9" i="3"/>
  <c r="L9" i="3"/>
  <c r="K9" i="3"/>
  <c r="J9" i="3"/>
  <c r="N8" i="3"/>
  <c r="M8" i="3"/>
  <c r="L8" i="3"/>
  <c r="K8" i="3"/>
  <c r="J8" i="3"/>
  <c r="N7" i="3"/>
  <c r="M7" i="3"/>
  <c r="L7" i="3"/>
  <c r="K7" i="3"/>
  <c r="J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H287" i="3"/>
  <c r="I287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H146" i="3"/>
  <c r="I145" i="3"/>
  <c r="I144" i="3"/>
  <c r="I146" i="3"/>
  <c r="I111" i="3"/>
  <c r="H286" i="3"/>
  <c r="I285" i="3" l="1"/>
  <c r="I214" i="3" l="1"/>
  <c r="I213" i="3"/>
  <c r="I114" i="3" l="1"/>
  <c r="I115" i="3"/>
  <c r="I109" i="3"/>
  <c r="I47" i="3"/>
  <c r="I46" i="3"/>
  <c r="I45" i="3"/>
  <c r="I44" i="3"/>
  <c r="I43" i="3"/>
  <c r="I42" i="3"/>
  <c r="I41" i="3"/>
  <c r="I40" i="3"/>
  <c r="I39" i="3"/>
  <c r="I38" i="3"/>
  <c r="I37" i="3"/>
  <c r="I14" i="3" l="1"/>
  <c r="H14" i="3"/>
  <c r="I36" i="3" l="1"/>
  <c r="G329" i="3"/>
  <c r="G330" i="3" s="1"/>
  <c r="G331" i="3" s="1"/>
  <c r="I327" i="3"/>
  <c r="I328" i="3" s="1"/>
  <c r="I113" i="3"/>
  <c r="I112" i="3"/>
  <c r="I110" i="3"/>
  <c r="E5" i="11"/>
  <c r="H333" i="3" l="1"/>
  <c r="I329" i="3"/>
  <c r="I330" i="3" s="1"/>
  <c r="I331" i="3" s="1"/>
  <c r="I51" i="12"/>
  <c r="I50" i="12"/>
  <c r="H51" i="12"/>
  <c r="G51" i="12"/>
  <c r="I46" i="12"/>
  <c r="G49" i="12"/>
  <c r="E46" i="12" l="1"/>
  <c r="I45" i="12"/>
  <c r="E45" i="12"/>
  <c r="C49" i="12"/>
  <c r="H49" i="12"/>
  <c r="D49" i="12"/>
  <c r="I47" i="12"/>
  <c r="I58" i="12" s="1"/>
  <c r="E47" i="12"/>
  <c r="I44" i="12"/>
  <c r="E44" i="12"/>
  <c r="I43" i="12"/>
  <c r="I57" i="12" s="1"/>
  <c r="E43" i="12"/>
  <c r="I42" i="12"/>
  <c r="E42" i="12"/>
  <c r="E58" i="12" s="1"/>
  <c r="I41" i="12"/>
  <c r="E41" i="12"/>
  <c r="E57" i="12" s="1"/>
  <c r="I40" i="12"/>
  <c r="E40" i="12"/>
  <c r="I39" i="12"/>
  <c r="E39" i="12"/>
  <c r="I38" i="12"/>
  <c r="E38" i="12"/>
  <c r="I37" i="12"/>
  <c r="E37" i="12"/>
  <c r="I36" i="12"/>
  <c r="E36" i="12"/>
  <c r="I35" i="12"/>
  <c r="E35" i="12"/>
  <c r="I34" i="12"/>
  <c r="E34" i="12"/>
  <c r="I33" i="12"/>
  <c r="E33" i="12"/>
  <c r="I32" i="12"/>
  <c r="E32" i="12"/>
  <c r="I31" i="12"/>
  <c r="E31" i="12"/>
  <c r="I30" i="12"/>
  <c r="E30" i="12"/>
  <c r="I29" i="12"/>
  <c r="E29" i="12"/>
  <c r="I28" i="12"/>
  <c r="E28" i="12"/>
  <c r="I27" i="12"/>
  <c r="E27" i="12"/>
  <c r="I26" i="12"/>
  <c r="E26" i="12"/>
  <c r="E56" i="12" s="1"/>
  <c r="I25" i="12"/>
  <c r="E25" i="12"/>
  <c r="I24" i="12"/>
  <c r="E24" i="12"/>
  <c r="I23" i="12"/>
  <c r="E23" i="12"/>
  <c r="I22" i="12"/>
  <c r="E22" i="12"/>
  <c r="I21" i="12"/>
  <c r="E21" i="12"/>
  <c r="E55" i="12" s="1"/>
  <c r="I20" i="12"/>
  <c r="E20" i="12"/>
  <c r="E54" i="12" s="1"/>
  <c r="I19" i="12"/>
  <c r="I56" i="12" s="1"/>
  <c r="E19" i="12"/>
  <c r="I18" i="12"/>
  <c r="I55" i="12" s="1"/>
  <c r="E18" i="12"/>
  <c r="I17" i="12"/>
  <c r="E17" i="12"/>
  <c r="I16" i="12"/>
  <c r="E16" i="12"/>
  <c r="I15" i="12"/>
  <c r="E15" i="12"/>
  <c r="I14" i="12"/>
  <c r="E14" i="12"/>
  <c r="I13" i="12"/>
  <c r="E13" i="12"/>
  <c r="I12" i="12"/>
  <c r="E12" i="12"/>
  <c r="I11" i="12"/>
  <c r="I54" i="12" s="1"/>
  <c r="E11" i="12"/>
  <c r="I10" i="12"/>
  <c r="E10" i="12"/>
  <c r="I9" i="12"/>
  <c r="E9" i="12"/>
  <c r="I8" i="12"/>
  <c r="E8" i="12"/>
  <c r="I7" i="12"/>
  <c r="E7" i="12"/>
  <c r="I6" i="12"/>
  <c r="E6" i="12"/>
  <c r="I5" i="12"/>
  <c r="E5" i="12"/>
  <c r="I4" i="12"/>
  <c r="E4" i="12"/>
  <c r="A2" i="12"/>
  <c r="I11" i="3"/>
  <c r="I48" i="10"/>
  <c r="I47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9" i="10"/>
  <c r="I8" i="10"/>
  <c r="I6" i="10"/>
  <c r="I5" i="10"/>
  <c r="I4" i="10"/>
  <c r="E7" i="11"/>
  <c r="E6" i="11"/>
  <c r="E9" i="11" l="1"/>
  <c r="I49" i="12"/>
  <c r="E49" i="12"/>
  <c r="E59" i="12"/>
  <c r="I59" i="12"/>
  <c r="I61" i="12" s="1"/>
  <c r="I78" i="3"/>
  <c r="I85" i="3"/>
  <c r="I86" i="3"/>
  <c r="I87" i="3"/>
  <c r="I88" i="3"/>
  <c r="I133" i="3"/>
  <c r="Z35" i="8"/>
  <c r="Y35" i="8"/>
  <c r="X35" i="8"/>
  <c r="W35" i="8"/>
  <c r="V35" i="8"/>
  <c r="U35" i="8"/>
  <c r="T35" i="8"/>
  <c r="S35" i="8"/>
  <c r="R35" i="8"/>
  <c r="Q35" i="8"/>
  <c r="P35" i="8"/>
  <c r="O35" i="8"/>
  <c r="Z34" i="8"/>
  <c r="Y34" i="8"/>
  <c r="X34" i="8"/>
  <c r="W34" i="8"/>
  <c r="V34" i="8"/>
  <c r="U34" i="8"/>
  <c r="T34" i="8"/>
  <c r="S34" i="8"/>
  <c r="R34" i="8"/>
  <c r="Q34" i="8"/>
  <c r="P34" i="8"/>
  <c r="O34" i="8"/>
  <c r="Z33" i="8"/>
  <c r="Y33" i="8"/>
  <c r="X33" i="8"/>
  <c r="W33" i="8"/>
  <c r="V33" i="8"/>
  <c r="U33" i="8"/>
  <c r="T33" i="8"/>
  <c r="S33" i="8"/>
  <c r="R33" i="8"/>
  <c r="Q33" i="8"/>
  <c r="P33" i="8"/>
  <c r="O33" i="8"/>
  <c r="Z30" i="8"/>
  <c r="Y30" i="8"/>
  <c r="X30" i="8"/>
  <c r="W30" i="8"/>
  <c r="V30" i="8"/>
  <c r="U30" i="8"/>
  <c r="T30" i="8"/>
  <c r="S30" i="8"/>
  <c r="R30" i="8"/>
  <c r="Q30" i="8"/>
  <c r="P30" i="8"/>
  <c r="O30" i="8"/>
  <c r="Z29" i="8"/>
  <c r="Y29" i="8"/>
  <c r="X29" i="8"/>
  <c r="W29" i="8"/>
  <c r="V29" i="8"/>
  <c r="U29" i="8"/>
  <c r="T29" i="8"/>
  <c r="S29" i="8"/>
  <c r="R29" i="8"/>
  <c r="Q29" i="8"/>
  <c r="P29" i="8"/>
  <c r="O29" i="8"/>
  <c r="Z28" i="8"/>
  <c r="Y28" i="8"/>
  <c r="X28" i="8"/>
  <c r="W28" i="8"/>
  <c r="V28" i="8"/>
  <c r="U28" i="8"/>
  <c r="T28" i="8"/>
  <c r="S28" i="8"/>
  <c r="R28" i="8"/>
  <c r="Q28" i="8"/>
  <c r="P28" i="8"/>
  <c r="O28" i="8"/>
  <c r="I319" i="3"/>
  <c r="G321" i="3"/>
  <c r="G322" i="3" s="1"/>
  <c r="G323" i="3" s="1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180" i="3"/>
  <c r="I179" i="3"/>
  <c r="I94" i="3"/>
  <c r="I93" i="3"/>
  <c r="I92" i="3"/>
  <c r="I91" i="3"/>
  <c r="I90" i="3"/>
  <c r="E61" i="12" l="1"/>
  <c r="W36" i="8"/>
  <c r="V36" i="8"/>
  <c r="X36" i="8"/>
  <c r="AA34" i="8"/>
  <c r="Y36" i="8"/>
  <c r="Z36" i="8"/>
  <c r="O31" i="8"/>
  <c r="R31" i="8"/>
  <c r="S36" i="8"/>
  <c r="P31" i="8"/>
  <c r="T36" i="8"/>
  <c r="AA35" i="8"/>
  <c r="Q31" i="8"/>
  <c r="U36" i="8"/>
  <c r="O36" i="8"/>
  <c r="AA30" i="8"/>
  <c r="V31" i="8"/>
  <c r="S31" i="8"/>
  <c r="T31" i="8"/>
  <c r="AA28" i="8"/>
  <c r="W31" i="8"/>
  <c r="P36" i="8"/>
  <c r="AA29" i="8"/>
  <c r="U31" i="8"/>
  <c r="X31" i="8"/>
  <c r="X38" i="8" s="1"/>
  <c r="Y31" i="8"/>
  <c r="Q36" i="8"/>
  <c r="Z31" i="8"/>
  <c r="Z38" i="8" s="1"/>
  <c r="R36" i="8"/>
  <c r="AA33" i="8"/>
  <c r="R38" i="8" l="1"/>
  <c r="Y38" i="8"/>
  <c r="V38" i="8"/>
  <c r="W38" i="8"/>
  <c r="O38" i="8"/>
  <c r="P38" i="8"/>
  <c r="T38" i="8"/>
  <c r="S38" i="8"/>
  <c r="Q38" i="8"/>
  <c r="AA36" i="8"/>
  <c r="U38" i="8"/>
  <c r="AA31" i="8"/>
  <c r="AA38" i="8" s="1"/>
  <c r="I137" i="3"/>
  <c r="I136" i="3"/>
  <c r="I135" i="3"/>
  <c r="I134" i="3"/>
  <c r="I132" i="3"/>
  <c r="I131" i="3"/>
  <c r="I130" i="3"/>
  <c r="I129" i="3"/>
  <c r="I128" i="3"/>
  <c r="I127" i="3"/>
  <c r="I126" i="3"/>
  <c r="I211" i="3" l="1"/>
  <c r="I210" i="3"/>
  <c r="I209" i="3"/>
  <c r="I208" i="3"/>
  <c r="I207" i="3"/>
  <c r="I206" i="3"/>
  <c r="I205" i="3"/>
  <c r="I268" i="3"/>
  <c r="I267" i="3"/>
  <c r="I266" i="3"/>
  <c r="I265" i="3"/>
  <c r="I264" i="3"/>
  <c r="I263" i="3"/>
  <c r="I262" i="3"/>
  <c r="I301" i="3"/>
  <c r="I300" i="3"/>
  <c r="I299" i="3"/>
  <c r="I298" i="3"/>
  <c r="I297" i="3"/>
  <c r="I296" i="3"/>
  <c r="I295" i="3"/>
  <c r="I294" i="3"/>
  <c r="I67" i="3"/>
  <c r="I66" i="3"/>
  <c r="I65" i="3"/>
  <c r="I64" i="3"/>
  <c r="I63" i="3"/>
  <c r="I62" i="3"/>
  <c r="B28" i="8"/>
  <c r="H317" i="3" l="1"/>
  <c r="H320" i="3" s="1"/>
  <c r="H321" i="3" l="1"/>
  <c r="H322" i="3" s="1"/>
  <c r="H323" i="3" s="1"/>
  <c r="I320" i="3"/>
  <c r="I321" i="3" s="1"/>
  <c r="I322" i="3" s="1"/>
  <c r="H307" i="3"/>
  <c r="H310" i="3" s="1"/>
  <c r="H308" i="3"/>
  <c r="H312" i="3"/>
  <c r="H325" i="3" l="1"/>
  <c r="I312" i="3"/>
  <c r="H313" i="3"/>
  <c r="H314" i="3" s="1"/>
  <c r="I150" i="3"/>
  <c r="I149" i="3"/>
  <c r="I143" i="3"/>
  <c r="I142" i="3"/>
  <c r="I141" i="3"/>
  <c r="I140" i="3"/>
  <c r="A2" i="10" l="1"/>
  <c r="H50" i="10"/>
  <c r="G50" i="10"/>
  <c r="E4" i="10"/>
  <c r="I50" i="10" l="1"/>
  <c r="E50" i="10"/>
  <c r="D50" i="10"/>
  <c r="C50" i="10"/>
  <c r="I286" i="3"/>
  <c r="I151" i="3" l="1"/>
  <c r="I148" i="3"/>
  <c r="I89" i="3"/>
  <c r="I284" i="3"/>
  <c r="I302" i="3"/>
  <c r="I293" i="3"/>
  <c r="I292" i="3"/>
  <c r="I178" i="3"/>
  <c r="I177" i="3"/>
  <c r="I35" i="3"/>
  <c r="M35" i="8"/>
  <c r="L35" i="8"/>
  <c r="K35" i="8"/>
  <c r="J35" i="8"/>
  <c r="I35" i="8"/>
  <c r="H35" i="8"/>
  <c r="G35" i="8"/>
  <c r="F35" i="8"/>
  <c r="E35" i="8"/>
  <c r="D35" i="8"/>
  <c r="C35" i="8"/>
  <c r="M34" i="8"/>
  <c r="L34" i="8"/>
  <c r="K34" i="8"/>
  <c r="J34" i="8"/>
  <c r="I34" i="8"/>
  <c r="H34" i="8"/>
  <c r="G34" i="8"/>
  <c r="F34" i="8"/>
  <c r="E34" i="8"/>
  <c r="D34" i="8"/>
  <c r="C34" i="8"/>
  <c r="M33" i="8"/>
  <c r="L33" i="8"/>
  <c r="K33" i="8"/>
  <c r="J33" i="8"/>
  <c r="I33" i="8"/>
  <c r="H33" i="8"/>
  <c r="G33" i="8"/>
  <c r="F33" i="8"/>
  <c r="E33" i="8"/>
  <c r="D33" i="8"/>
  <c r="C33" i="8"/>
  <c r="B35" i="8"/>
  <c r="B34" i="8"/>
  <c r="B33" i="8"/>
  <c r="M30" i="8"/>
  <c r="L30" i="8"/>
  <c r="K30" i="8"/>
  <c r="J30" i="8"/>
  <c r="I30" i="8"/>
  <c r="H30" i="8"/>
  <c r="G30" i="8"/>
  <c r="F30" i="8"/>
  <c r="E30" i="8"/>
  <c r="D30" i="8"/>
  <c r="C30" i="8"/>
  <c r="M29" i="8"/>
  <c r="L29" i="8"/>
  <c r="K29" i="8"/>
  <c r="J29" i="8"/>
  <c r="I29" i="8"/>
  <c r="H29" i="8"/>
  <c r="G29" i="8"/>
  <c r="F29" i="8"/>
  <c r="E29" i="8"/>
  <c r="D29" i="8"/>
  <c r="C29" i="8"/>
  <c r="M28" i="8"/>
  <c r="L28" i="8"/>
  <c r="K28" i="8"/>
  <c r="J28" i="8"/>
  <c r="I28" i="8"/>
  <c r="H28" i="8"/>
  <c r="G28" i="8"/>
  <c r="F28" i="8"/>
  <c r="E28" i="8"/>
  <c r="D28" i="8"/>
  <c r="C28" i="8"/>
  <c r="B30" i="8"/>
  <c r="B29" i="8"/>
  <c r="B31" i="8" l="1"/>
  <c r="I36" i="8"/>
  <c r="H36" i="8"/>
  <c r="J36" i="8"/>
  <c r="M31" i="8"/>
  <c r="C31" i="8"/>
  <c r="D31" i="8"/>
  <c r="E31" i="8"/>
  <c r="E38" i="8" s="1"/>
  <c r="B36" i="8"/>
  <c r="B38" i="8" s="1"/>
  <c r="F31" i="8"/>
  <c r="K31" i="8"/>
  <c r="G31" i="8"/>
  <c r="I31" i="8"/>
  <c r="I38" i="8" s="1"/>
  <c r="D36" i="8"/>
  <c r="D38" i="8" s="1"/>
  <c r="N34" i="8"/>
  <c r="N33" i="8"/>
  <c r="J31" i="8"/>
  <c r="J38" i="8" s="1"/>
  <c r="F36" i="8"/>
  <c r="N28" i="8"/>
  <c r="N30" i="8"/>
  <c r="H31" i="8"/>
  <c r="L36" i="8"/>
  <c r="N29" i="8"/>
  <c r="E36" i="8"/>
  <c r="N35" i="8"/>
  <c r="M36" i="8"/>
  <c r="L31" i="8"/>
  <c r="G36" i="8"/>
  <c r="C36" i="8"/>
  <c r="C38" i="8" s="1"/>
  <c r="K36" i="8"/>
  <c r="M38" i="8" l="1"/>
  <c r="N31" i="8"/>
  <c r="H38" i="8"/>
  <c r="K38" i="8"/>
  <c r="F38" i="8"/>
  <c r="G38" i="8"/>
  <c r="L38" i="8"/>
  <c r="N36" i="8"/>
  <c r="N38" i="8" s="1"/>
  <c r="I215" i="3"/>
  <c r="N2" i="3"/>
  <c r="M2" i="3" l="1"/>
  <c r="L2" i="3"/>
  <c r="K2" i="3"/>
  <c r="J2" i="3"/>
  <c r="E54" i="10"/>
</calcChain>
</file>

<file path=xl/sharedStrings.xml><?xml version="1.0" encoding="utf-8"?>
<sst xmlns="http://schemas.openxmlformats.org/spreadsheetml/2006/main" count="2099" uniqueCount="135">
  <si>
    <t>Invoice</t>
  </si>
  <si>
    <t>Core Clinical Management, LLC:Core Clinical - 2024 Managed Services</t>
  </si>
  <si>
    <t>Curonix LLC:Curonix Managed Services</t>
  </si>
  <si>
    <t>Freedom Service Dogs Inc.:Managed Services</t>
  </si>
  <si>
    <t>Great Expressions Dental Centers:Great Expressions Dental - Marketing Managed Services</t>
  </si>
  <si>
    <t>National Rural Health Resource Center:NRHRC Managed Services August 2024- July 2025</t>
  </si>
  <si>
    <t>RestorixHealth Inc:Managed Services</t>
  </si>
  <si>
    <t>The Washington Post:The Washington Post Managed Services</t>
  </si>
  <si>
    <t>REVISED6154</t>
  </si>
  <si>
    <t>Acumen Solutions, Inc.</t>
  </si>
  <si>
    <t>Msol Inc. DBA Macro Solutions</t>
  </si>
  <si>
    <t>Currencies Direct Limited:Redpin - Salesforce Assessment/Healthcheck</t>
  </si>
  <si>
    <t>State of Virginia - State Corporation Commission:State of Virginia/Guidehouse</t>
  </si>
  <si>
    <t>Currencies Direct Limited:Redpin Staff Aug</t>
  </si>
  <si>
    <t>Federation of State Massage Therapy Boards (FSMTB):FSMTB - Managed Services</t>
  </si>
  <si>
    <t>Federation of State Massage Therapy Boards (FSMTB):FSMTB - Advisory</t>
  </si>
  <si>
    <t>BG Staffing, Inc:BGSF - Phase 1 Advisory</t>
  </si>
  <si>
    <t>REVISED6111</t>
  </si>
  <si>
    <t>REV6132</t>
  </si>
  <si>
    <t>Payment Date</t>
  </si>
  <si>
    <t>Client</t>
  </si>
  <si>
    <t>Invoice Date</t>
  </si>
  <si>
    <t>Transaction</t>
  </si>
  <si>
    <t>Invoice Number</t>
  </si>
  <si>
    <t>Invoice Amount</t>
  </si>
  <si>
    <t>Invoice Month</t>
  </si>
  <si>
    <t>Payment Month</t>
  </si>
  <si>
    <t>Invoice Year</t>
  </si>
  <si>
    <t>Payment Year</t>
  </si>
  <si>
    <t>Grand Total</t>
  </si>
  <si>
    <t>Column Labels</t>
  </si>
  <si>
    <t>Sum of Invoice Amount</t>
  </si>
  <si>
    <t>XXXX</t>
  </si>
  <si>
    <t>Msol Inc. DBA Macro Solutions - Expansion Part II</t>
  </si>
  <si>
    <t>National Rural Health Resource Center:NRHRC Managed Services August 2025- July 2026</t>
  </si>
  <si>
    <t>Total Solutions, Inc:HUD Managed Services August 2024 - July 2025</t>
  </si>
  <si>
    <t>Total Solutions, Inc:HUD Managed Services August 2025 - July 2026</t>
  </si>
  <si>
    <t>Customer / Project</t>
  </si>
  <si>
    <t>Days Outstanding</t>
  </si>
  <si>
    <t>Type</t>
  </si>
  <si>
    <t>Actual</t>
  </si>
  <si>
    <t>Known</t>
  </si>
  <si>
    <t>Forecast</t>
  </si>
  <si>
    <t>Row Labels</t>
  </si>
  <si>
    <t>Average of Days Outstanding</t>
  </si>
  <si>
    <t>Currencies Direct Limited:Redpin Payments - Activation</t>
  </si>
  <si>
    <t>Currencies Direct Limited:Redpin Payments - Solution Management July 2025 to Jun 2026</t>
  </si>
  <si>
    <t>Delta Dental Washington:Delta Dental Washington -  Scope A - Fixed Fee</t>
  </si>
  <si>
    <t>Delta Dental Washington:Delta Dental Washington -  Scope B - T&amp;M</t>
  </si>
  <si>
    <t xml:space="preserve">Delta Dental Washington:Delta Dental Washington - Scope C - Service Block </t>
  </si>
  <si>
    <t>Youreka Labs, Inc:AgentForce - Activation</t>
  </si>
  <si>
    <t>Youreka Labs, Inc:AgentForce - Solution Management September 2025 to August 2026</t>
  </si>
  <si>
    <t>Advisory Council on Historic Preservation (ACHP)</t>
  </si>
  <si>
    <t>Currencies Direct Limited:Redpin B2B</t>
  </si>
  <si>
    <t>Youreka Labs, Inc:ABB Phase 2</t>
  </si>
  <si>
    <t>Youreka Labs, Inc:ABB Phase 1</t>
  </si>
  <si>
    <t>Currencies Direct Limited:Redpin Staff Aug - Extension</t>
  </si>
  <si>
    <t>Account</t>
  </si>
  <si>
    <t>Generation</t>
  </si>
  <si>
    <t>Industry</t>
  </si>
  <si>
    <t>IRS</t>
  </si>
  <si>
    <t>Classic</t>
  </si>
  <si>
    <t>PSS</t>
  </si>
  <si>
    <t>ACHP</t>
  </si>
  <si>
    <t>AppIQ</t>
  </si>
  <si>
    <t>BGSF</t>
  </si>
  <si>
    <t>ENT</t>
  </si>
  <si>
    <t>Curonix</t>
  </si>
  <si>
    <t>HLS</t>
  </si>
  <si>
    <t>Redpin</t>
  </si>
  <si>
    <t>Delta Dental Washington:Delta Dental Washington - Scope A - Fixed Fee</t>
  </si>
  <si>
    <t>DDWA</t>
  </si>
  <si>
    <t>Delta Dental Washington:Delta Dental Washington - Scope B - T&amp;M</t>
  </si>
  <si>
    <t>Delta Dental Washington:Delta Dental Washington - Scope C - Service Block</t>
  </si>
  <si>
    <t>FSMTB</t>
  </si>
  <si>
    <t>FSD</t>
  </si>
  <si>
    <t>Great Expressions</t>
  </si>
  <si>
    <t>FDIC</t>
  </si>
  <si>
    <t>NRHRC</t>
  </si>
  <si>
    <t>Restorix</t>
  </si>
  <si>
    <t>State of VA</t>
  </si>
  <si>
    <t>Wapo</t>
  </si>
  <si>
    <t>HUD</t>
  </si>
  <si>
    <t>Dispatch</t>
  </si>
  <si>
    <t>Youreka Labs, Inc:Phase 1</t>
  </si>
  <si>
    <t>ABB</t>
  </si>
  <si>
    <t>Youreka Labs, Inc:Phase 2</t>
  </si>
  <si>
    <t>Version</t>
  </si>
  <si>
    <t>Curonix LLC:Curonix Managed Services - 6M Extension</t>
  </si>
  <si>
    <t>RestorixHealth Inc:Managed Services - Overages</t>
  </si>
  <si>
    <t>Comparison to Previous Month's Forecast</t>
  </si>
  <si>
    <t>Current</t>
  </si>
  <si>
    <t>Previous</t>
  </si>
  <si>
    <t>Better/(Worse)</t>
  </si>
  <si>
    <t>Total</t>
  </si>
  <si>
    <t>TOTAL 2025</t>
  </si>
  <si>
    <t>Timing difference</t>
  </si>
  <si>
    <t>Federation of State Massage Therapy Boards (FSMTB):FSMTB - Phase I - Scope A</t>
  </si>
  <si>
    <t>Federation of State Massage Therapy Boards (FSMTB):FSMTB - Phase I - Scope B</t>
  </si>
  <si>
    <t>PowerSchool Group LLC</t>
  </si>
  <si>
    <t>Delta Dental Washington:Delta Dental Washington - DSM Solution Engagement</t>
  </si>
  <si>
    <t>2025  Total</t>
  </si>
  <si>
    <t>2026  Total</t>
  </si>
  <si>
    <t>2027  Total</t>
  </si>
  <si>
    <t>2028  Total</t>
  </si>
  <si>
    <t>Onlok Inc: Solution Activation - Sub Phase 3</t>
  </si>
  <si>
    <t>Onlok Inc: Solution Activation - Sub Phase 2</t>
  </si>
  <si>
    <t>Onlok Inc: Solution Activation - Sub Phase 1</t>
  </si>
  <si>
    <t>Onlok Inc: Solution Activation - Sub Phase 4</t>
  </si>
  <si>
    <t>Onlok Inc: Solution Management</t>
  </si>
  <si>
    <t>Aug</t>
  </si>
  <si>
    <t>Sept</t>
  </si>
  <si>
    <t>Oct</t>
  </si>
  <si>
    <t>Nov</t>
  </si>
  <si>
    <t>Change</t>
  </si>
  <si>
    <t>Macro</t>
  </si>
  <si>
    <t>Youreka</t>
  </si>
  <si>
    <t>Y2026</t>
  </si>
  <si>
    <t>Y2027</t>
  </si>
  <si>
    <t>Y2028</t>
  </si>
  <si>
    <t>Year</t>
  </si>
  <si>
    <t>Uncollected</t>
  </si>
  <si>
    <t>(Multiple Items)</t>
  </si>
  <si>
    <t>Represents the cash to be collected from all actual &amp; known future invoicing</t>
  </si>
  <si>
    <t>Comparison to Previous Quarter's Forecast</t>
  </si>
  <si>
    <t>Q3 2025</t>
  </si>
  <si>
    <t>Youreka Labs, Inc:Dispatch Agentforce Build &amp; Manage - Phase 1</t>
  </si>
  <si>
    <t>Youreka Labs, Inc:Dispatch Agentforce Build &amp; Manage - Phase 2</t>
  </si>
  <si>
    <t>001</t>
  </si>
  <si>
    <t>Msol Inc. DBA Macro Solutions (Now Alpha Omega)</t>
  </si>
  <si>
    <t>Carney, Sandoe &amp; Associates, Inc.</t>
  </si>
  <si>
    <t>Curonix LLC:Curonix Managed Services - 12M Extension</t>
  </si>
  <si>
    <t>Msol Inc. DBA Macro Solutions (Now Alpha Omega) - Extension</t>
  </si>
  <si>
    <t>Youreka Labs, Inc:ABB Phase 2 - Change Order</t>
  </si>
  <si>
    <t>MONTH OF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</si>
</sst>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_);[Red]\(0\)"/>
    <numFmt numFmtId="165" formatCode="mm/dd/yyyy"/>
  </numFmts>
  <fonts count="10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ptos Narrow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0"/>
      <color theme="5" tint="-0.249977111117893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2" borderId="1" xfId="1" applyFont="1" applyFill="1" applyBorder="1"/>
    <xf numFmtId="0" fontId="4" fillId="2" borderId="1" xfId="1" applyFont="1" applyFill="1" applyBorder="1" applyAlignment="1">
      <alignment horizontal="center" wrapText="1"/>
    </xf>
    <xf numFmtId="8" fontId="3" fillId="0" borderId="0" xfId="1" applyNumberFormat="1" applyFont="1"/>
    <xf numFmtId="164" fontId="3" fillId="0" borderId="0" xfId="1" applyNumberFormat="1" applyFont="1" applyAlignment="1">
      <alignment horizontal="center"/>
    </xf>
    <xf numFmtId="0" fontId="5" fillId="0" borderId="0" xfId="0" pivotButton="1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left"/>
    </xf>
    <xf numFmtId="38" fontId="5" fillId="0" borderId="0" xfId="0" applyNumberFormat="1" applyFont="1"/>
    <xf numFmtId="0" fontId="3" fillId="4" borderId="0" xfId="1" applyFont="1" applyFill="1"/>
    <xf numFmtId="0" fontId="3" fillId="4" borderId="0" xfId="1" applyFont="1" applyFill="1" applyAlignment="1">
      <alignment horizontal="center"/>
    </xf>
    <xf numFmtId="8" fontId="3" fillId="4" borderId="0" xfId="1" applyNumberFormat="1" applyFont="1" applyFill="1"/>
    <xf numFmtId="164" fontId="3" fillId="4" borderId="0" xfId="1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3" fillId="5" borderId="0" xfId="1" applyFont="1" applyFill="1"/>
    <xf numFmtId="0" fontId="3" fillId="5" borderId="0" xfId="1" applyFont="1" applyFill="1" applyAlignment="1">
      <alignment horizontal="center"/>
    </xf>
    <xf numFmtId="8" fontId="3" fillId="5" borderId="0" xfId="1" applyNumberFormat="1" applyFont="1" applyFill="1"/>
    <xf numFmtId="164" fontId="3" fillId="5" borderId="0" xfId="1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165" fontId="3" fillId="0" borderId="0" xfId="1" applyNumberFormat="1" applyFont="1" applyAlignment="1">
      <alignment horizontal="center"/>
    </xf>
    <xf numFmtId="165" fontId="3" fillId="4" borderId="0" xfId="1" applyNumberFormat="1" applyFont="1" applyFill="1" applyAlignment="1">
      <alignment horizontal="center"/>
    </xf>
    <xf numFmtId="165" fontId="3" fillId="5" borderId="0" xfId="1" applyNumberFormat="1" applyFont="1" applyFill="1" applyAlignment="1">
      <alignment horizontal="center"/>
    </xf>
    <xf numFmtId="165" fontId="6" fillId="3" borderId="0" xfId="1" applyNumberFormat="1" applyFont="1" applyFill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 wrapText="1"/>
    </xf>
    <xf numFmtId="0" fontId="3" fillId="0" borderId="0" xfId="1" quotePrefix="1" applyFont="1"/>
    <xf numFmtId="0" fontId="5" fillId="0" borderId="0" xfId="0" applyFont="1" applyAlignment="1">
      <alignment horizontal="center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6" borderId="3" xfId="0" applyFont="1" applyFill="1" applyBorder="1"/>
    <xf numFmtId="164" fontId="4" fillId="6" borderId="3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38" fontId="4" fillId="0" borderId="3" xfId="0" applyNumberFormat="1" applyFont="1" applyBorder="1"/>
    <xf numFmtId="0" fontId="4" fillId="6" borderId="4" xfId="0" applyFont="1" applyFill="1" applyBorder="1" applyAlignment="1">
      <alignment horizontal="left"/>
    </xf>
    <xf numFmtId="38" fontId="4" fillId="6" borderId="4" xfId="0" applyNumberFormat="1" applyFont="1" applyFill="1" applyBorder="1"/>
    <xf numFmtId="0" fontId="7" fillId="7" borderId="0" xfId="0" quotePrefix="1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38" fontId="7" fillId="0" borderId="0" xfId="0" applyNumberFormat="1" applyFont="1"/>
    <xf numFmtId="0" fontId="8" fillId="0" borderId="0" xfId="0" applyFont="1"/>
    <xf numFmtId="38" fontId="5" fillId="3" borderId="0" xfId="0" applyNumberFormat="1" applyFont="1" applyFill="1"/>
    <xf numFmtId="0" fontId="5" fillId="0" borderId="0" xfId="0" applyFont="1" applyAlignment="1">
      <alignment horizontal="right"/>
    </xf>
    <xf numFmtId="16" fontId="3" fillId="0" borderId="0" xfId="1" applyNumberFormat="1" applyFont="1"/>
    <xf numFmtId="0" fontId="4" fillId="9" borderId="3" xfId="0" applyFont="1" applyFill="1" applyBorder="1"/>
    <xf numFmtId="38" fontId="4" fillId="9" borderId="3" xfId="0" applyNumberFormat="1" applyFont="1" applyFill="1" applyBorder="1"/>
    <xf numFmtId="38" fontId="5" fillId="9" borderId="0" xfId="0" applyNumberFormat="1" applyFont="1" applyFill="1"/>
    <xf numFmtId="0" fontId="7" fillId="0" borderId="1" xfId="0" applyFont="1" applyBorder="1" applyAlignment="1">
      <alignment horizontal="center"/>
    </xf>
    <xf numFmtId="164" fontId="5" fillId="0" borderId="0" xfId="0" applyNumberFormat="1" applyFont="1" applyAlignment="1">
      <alignment horizontal="left"/>
    </xf>
    <xf numFmtId="8" fontId="5" fillId="0" borderId="0" xfId="0" applyNumberFormat="1" applyFont="1"/>
    <xf numFmtId="6" fontId="5" fillId="0" borderId="0" xfId="0" applyNumberFormat="1" applyFont="1"/>
    <xf numFmtId="164" fontId="5" fillId="0" borderId="0" xfId="0" applyNumberFormat="1" applyFont="1" applyAlignment="1">
      <alignment horizontal="left" indent="1"/>
    </xf>
    <xf numFmtId="6" fontId="7" fillId="7" borderId="0" xfId="0" applyNumberFormat="1" applyFont="1" applyFill="1"/>
    <xf numFmtId="0" fontId="7" fillId="8" borderId="0" xfId="0" applyFont="1" applyFill="1" applyAlignment="1">
      <alignment horizontal="center"/>
    </xf>
    <xf numFmtId="38" fontId="4" fillId="10" borderId="4" xfId="0" applyNumberFormat="1" applyFont="1" applyFill="1" applyBorder="1"/>
  </cellXfs>
  <cellStyles count="2">
    <cellStyle name="Normal" xfId="0" builtinId="0"/>
    <cellStyle name="Normal 2" xfId="1" xr:uid="{521819E1-3A10-4A4E-B78F-203DB6029E4B}"/>
  </cellStyles>
  <dxfs count="133">
    <dxf>
      <fill>
        <patternFill patternType="solid">
          <bgColor theme="5" tint="0.79998168889431442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6" formatCode="#,##0_);[Red]\(#,##0\)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6" formatCode="#,##0_);[Red]\(#,##0\)"/>
    </dxf>
    <dxf>
      <alignment horizontal="center"/>
    </dxf>
    <dxf>
      <alignment wrapText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6" formatCode="#,##0_);[Red]\(#,##0\)"/>
    </dxf>
    <dxf>
      <alignment horizontal="center"/>
    </dxf>
    <dxf>
      <alignment wrapText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numFmt numFmtId="6" formatCode="#,##0_);[Red]\(#,##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0"/>
    </dxf>
    <dxf>
      <alignment horizontal="center"/>
    </dxf>
    <dxf>
      <numFmt numFmtId="6" formatCode="#,##0_);[Red]\(#,##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0"/>
    </dxf>
    <dxf>
      <alignment horizontal="center"/>
    </dxf>
    <dxf>
      <numFmt numFmtId="6" formatCode="#,##0_);[Red]\(#,##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colors>
    <mruColors>
      <color rgb="FFFFEBFF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Norris" refreshedDate="46030.696612268519" createdVersion="8" refreshedVersion="8" minRefreshableVersion="3" recordCount="301" xr:uid="{E81650D8-72C0-442C-BCB5-EDBFED7ACECC}">
  <cacheSource type="worksheet">
    <worksheetSource ref="A1:N302" sheet="Invoice &amp; Payments"/>
  </cacheSource>
  <cacheFields count="14">
    <cacheField name="Client" numFmtId="0">
      <sharedItems count="60">
        <s v="Acumen Solutions, Inc."/>
        <s v="Advisory Council on Historic Preservation (ACHP)"/>
        <s v="BG Staffing, Inc:BGSF - Phase 1 Advisory"/>
        <s v="Carney, Sandoe &amp; Associates, Inc."/>
        <s v="Core Clinical Management, LLC:Core Clinical - 2024 Managed Services"/>
        <s v="Curonix LLC:Curonix Managed Services"/>
        <s v="Curonix LLC:Curonix Managed Services - 6M Extension"/>
        <s v="Curonix LLC:Curonix Managed Services - 12M Extension"/>
        <s v="Currencies Direct Limited:Redpin - Salesforce Assessment/Healthcheck"/>
        <s v="Currencies Direct Limited:Redpin Payments - Activation"/>
        <s v="Currencies Direct Limited:Redpin Payments - Solution Management July 2025 to Jun 2026"/>
        <s v="Currencies Direct Limited:Redpin Staff Aug"/>
        <s v="Currencies Direct Limited:Redpin Staff Aug - Extension"/>
        <s v="Currencies Direct Limited:Redpin B2B"/>
        <s v="Delta Dental Washington:Delta Dental Washington -  Scope A - Fixed Fee"/>
        <s v="Delta Dental Washington:Delta Dental Washington -  Scope B - T&amp;M"/>
        <s v="Delta Dental Washington:Delta Dental Washington - Scope C - Service Block "/>
        <s v="Delta Dental Washington:Delta Dental Washington - DSM Solution Engagement"/>
        <s v="Federation of State Massage Therapy Boards (FSMTB):FSMTB - Advisory"/>
        <s v="Federation of State Massage Therapy Boards (FSMTB):FSMTB - Managed Services"/>
        <s v="Federation of State Massage Therapy Boards (FSMTB):FSMTB - Phase I - Scope A"/>
        <s v="Federation of State Massage Therapy Boards (FSMTB):FSMTB - Phase I - Scope B"/>
        <s v="Freedom Service Dogs Inc.:Managed Services"/>
        <s v="Great Expressions Dental Centers:Great Expressions Dental - Marketing Managed Services"/>
        <s v="Msol Inc. DBA Macro Solutions (Now Alpha Omega)"/>
        <s v="Msol Inc. DBA Macro Solutions (Now Alpha Omega) - Extension"/>
        <s v="National Rural Health Resource Center:NRHRC Managed Services August 2024- July 2025"/>
        <s v="National Rural Health Resource Center:NRHRC Managed Services August 2025- July 2026"/>
        <s v="Onlok Inc: Solution Activation - Sub Phase 1"/>
        <s v="Onlok Inc: Solution Activation - Sub Phase 2"/>
        <s v="Onlok Inc: Solution Activation - Sub Phase 3"/>
        <s v="Onlok Inc: Solution Activation - Sub Phase 4"/>
        <s v="Onlok Inc: Solution Management"/>
        <s v="PowerSchool Group LLC"/>
        <s v="RestorixHealth Inc:Managed Services"/>
        <s v="RestorixHealth Inc:Managed Services - Overages"/>
        <s v="State of Virginia - State Corporation Commission:State of Virginia/Guidehouse"/>
        <s v="The Washington Post:The Washington Post Managed Services"/>
        <s v="Total Solutions, Inc:HUD Managed Services August 2024 - July 2025"/>
        <s v="Total Solutions, Inc:HUD Managed Services August 2025 - July 2026"/>
        <s v="Youreka Labs, Inc:ABB Phase 1"/>
        <s v="Youreka Labs, Inc:ABB Phase 2"/>
        <s v="Youreka Labs, Inc:ABB Phase 2 - Change Order"/>
        <s v="Youreka Labs, Inc:AgentForce - Activation"/>
        <s v="Youreka Labs, Inc:AgentForce - Solution Management September 2025 to August 2026"/>
        <s v="Msol Inc. DBA Macro Solutions" u="1"/>
        <s v="Onlok Inc: Solution Activation" u="1"/>
        <s v="Onlok Inc: Solution Activation - Sub Phase I" u="1"/>
        <s v="Msol Inc. DBA Macro Solutions - Expansion Part II" u="1"/>
        <s v="Onlok Inc" u="1"/>
        <s v="Federation of State Massage Therapy Boards (FSMTB):FSMTB - Phase I" u="1"/>
        <s v="Youreka Labs, Inc:Dispatch Agentforce Build &amp; Manage - Phase 1" u="1"/>
        <s v="Youreka Labs, Inc:Dispatch Agentforce Build &amp; Manage - Phase 2" u="1"/>
        <s v="Youreka Labs, Inc:Phase 1" u="1"/>
        <s v="Youreka Labs, Inc:Phase 2" u="1"/>
        <s v="Delta Dental Washington:Delta Dental Washington - Fixed Fee Scope A" u="1"/>
        <s v="Delta Dental Washington:Delta Dental Washington - T&amp;M Scope B" u="1"/>
        <s v="Delta Dental Washington:Delta Dental Washington - Service Block Scope C" u="1"/>
        <s v="Delta Dental Washington:Delta Dental Washington - T&amp;M Scope C" u="1"/>
        <s v="Currencies Direct Limited:Redpin Payments" u="1"/>
      </sharedItems>
    </cacheField>
    <cacheField name="Generation" numFmtId="0">
      <sharedItems count="2">
        <s v="Classic"/>
        <s v="AppIQ"/>
      </sharedItems>
    </cacheField>
    <cacheField name="Industry" numFmtId="0">
      <sharedItems count="3">
        <s v="PSS"/>
        <s v="ENT"/>
        <s v="HLS"/>
      </sharedItems>
    </cacheField>
    <cacheField name="Type" numFmtId="0">
      <sharedItems count="3">
        <s v="Actual"/>
        <s v="Known"/>
        <s v="Forecast"/>
      </sharedItems>
    </cacheField>
    <cacheField name="Transaction" numFmtId="0">
      <sharedItems/>
    </cacheField>
    <cacheField name="Invoice Date" numFmtId="165">
      <sharedItems containsSemiMixedTypes="0" containsNonDate="0" containsDate="1" containsString="0" minDate="2024-10-31T00:00:00" maxDate="2028-04-02T00:00:00"/>
    </cacheField>
    <cacheField name="Invoice Number" numFmtId="0">
      <sharedItems containsMixedTypes="1" containsNumber="1" containsInteger="1" minValue="6115" maxValue="6341"/>
    </cacheField>
    <cacheField name="Invoice Amount" numFmtId="8">
      <sharedItems containsSemiMixedTypes="0" containsString="0" containsNumber="1" minValue="0" maxValue="509236"/>
    </cacheField>
    <cacheField name="Payment Date" numFmtId="165">
      <sharedItems containsSemiMixedTypes="0" containsNonDate="0" containsDate="1" containsString="0" minDate="2025-01-03T00:00:00" maxDate="2028-05-17T00:00:00"/>
    </cacheField>
    <cacheField name="Invoice Year" numFmtId="164">
      <sharedItems containsSemiMixedTypes="0" containsString="0" containsNumber="1" containsInteger="1" minValue="2024" maxValue="2028"/>
    </cacheField>
    <cacheField name="Invoice Month" numFmtId="164">
      <sharedItems containsSemiMixedTypes="0" containsString="0" containsNumber="1" containsInteger="1" minValue="1" maxValue="12"/>
    </cacheField>
    <cacheField name="Payment Year" numFmtId="164">
      <sharedItems containsSemiMixedTypes="0" containsString="0" containsNumber="1" containsInteger="1" minValue="2025" maxValue="2029" count="5">
        <n v="2025"/>
        <n v="2026"/>
        <n v="2027"/>
        <n v="2028"/>
        <n v="2029" u="1"/>
      </sharedItems>
    </cacheField>
    <cacheField name="Payment Month" numFmtId="164">
      <sharedItems containsSemiMixedTypes="0" containsString="0" containsNumber="1" containsInteger="1" minValue="1" maxValue="12" count="12">
        <n v="1"/>
        <n v="3"/>
        <n v="2"/>
        <n v="4"/>
        <n v="6"/>
        <n v="12"/>
        <n v="5"/>
        <n v="7"/>
        <n v="8"/>
        <n v="9"/>
        <n v="10"/>
        <n v="11"/>
      </sharedItems>
    </cacheField>
    <cacheField name="Days Outstanding" numFmtId="164">
      <sharedItems containsSemiMixedTypes="0" containsString="0" containsNumber="1" containsInteger="1" minValue="-6" maxValue="2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x v="0"/>
    <x v="0"/>
    <x v="0"/>
    <s v="Invoice"/>
    <d v="2024-10-31T00:00:00"/>
    <s v="REVISED6111"/>
    <n v="41184"/>
    <d v="2025-01-28T00:00:00"/>
    <n v="2024"/>
    <n v="10"/>
    <x v="0"/>
    <x v="0"/>
    <n v="89"/>
  </r>
  <r>
    <x v="0"/>
    <x v="0"/>
    <x v="0"/>
    <x v="0"/>
    <s v="Invoice"/>
    <d v="2024-12-14T00:00:00"/>
    <n v="6153"/>
    <n v="19448"/>
    <d v="2025-01-30T00:00:00"/>
    <n v="2024"/>
    <n v="12"/>
    <x v="0"/>
    <x v="0"/>
    <n v="47"/>
  </r>
  <r>
    <x v="0"/>
    <x v="0"/>
    <x v="0"/>
    <x v="0"/>
    <s v="Invoice"/>
    <d v="2025-01-04T00:00:00"/>
    <s v="REVISED6154"/>
    <n v="18447"/>
    <d v="2025-03-27T00:00:00"/>
    <n v="2025"/>
    <n v="1"/>
    <x v="0"/>
    <x v="1"/>
    <n v="82"/>
  </r>
  <r>
    <x v="0"/>
    <x v="0"/>
    <x v="0"/>
    <x v="0"/>
    <s v="Invoice"/>
    <d v="2025-01-18T00:00:00"/>
    <n v="6167"/>
    <n v="20592"/>
    <d v="2025-02-25T00:00:00"/>
    <n v="2025"/>
    <n v="1"/>
    <x v="0"/>
    <x v="2"/>
    <n v="38"/>
  </r>
  <r>
    <x v="0"/>
    <x v="0"/>
    <x v="0"/>
    <x v="0"/>
    <s v="Invoice"/>
    <d v="2025-01-31T00:00:00"/>
    <n v="6168"/>
    <n v="19448"/>
    <d v="2025-02-25T00:00:00"/>
    <n v="2025"/>
    <n v="1"/>
    <x v="0"/>
    <x v="2"/>
    <n v="25"/>
  </r>
  <r>
    <x v="0"/>
    <x v="0"/>
    <x v="0"/>
    <x v="0"/>
    <s v="Invoice"/>
    <d v="2025-02-15T00:00:00"/>
    <n v="6181"/>
    <n v="22880"/>
    <d v="2025-03-28T00:00:00"/>
    <n v="2025"/>
    <n v="2"/>
    <x v="0"/>
    <x v="1"/>
    <n v="41"/>
  </r>
  <r>
    <x v="0"/>
    <x v="0"/>
    <x v="0"/>
    <x v="0"/>
    <s v="Invoice"/>
    <d v="2025-02-28T00:00:00"/>
    <n v="6182"/>
    <n v="22880"/>
    <d v="2025-04-03T00:00:00"/>
    <n v="2025"/>
    <n v="2"/>
    <x v="0"/>
    <x v="3"/>
    <n v="34"/>
  </r>
  <r>
    <x v="1"/>
    <x v="1"/>
    <x v="0"/>
    <x v="0"/>
    <s v="Invoice"/>
    <d v="2025-06-20T00:00:00"/>
    <n v="6228"/>
    <n v="9987"/>
    <d v="2025-06-20T00:00:00"/>
    <n v="2025"/>
    <n v="6"/>
    <x v="0"/>
    <x v="4"/>
    <n v="0"/>
  </r>
  <r>
    <x v="1"/>
    <x v="1"/>
    <x v="0"/>
    <x v="0"/>
    <s v="Invoice"/>
    <d v="2025-09-30T00:00:00"/>
    <n v="6289"/>
    <n v="145000"/>
    <d v="2025-12-19T00:00:00"/>
    <n v="2025"/>
    <n v="9"/>
    <x v="0"/>
    <x v="5"/>
    <n v="80"/>
  </r>
  <r>
    <x v="1"/>
    <x v="1"/>
    <x v="0"/>
    <x v="1"/>
    <s v="Invoice"/>
    <d v="2026-04-30T00:00:00"/>
    <s v="XXXX"/>
    <n v="55000"/>
    <d v="2026-06-29T00:00:00"/>
    <n v="2026"/>
    <n v="4"/>
    <x v="1"/>
    <x v="4"/>
    <n v="60"/>
  </r>
  <r>
    <x v="2"/>
    <x v="0"/>
    <x v="1"/>
    <x v="0"/>
    <s v="Invoice"/>
    <d v="2024-12-31T00:00:00"/>
    <n v="6149"/>
    <n v="6195"/>
    <d v="2025-01-23T00:00:00"/>
    <n v="2024"/>
    <n v="12"/>
    <x v="0"/>
    <x v="0"/>
    <n v="23"/>
  </r>
  <r>
    <x v="3"/>
    <x v="1"/>
    <x v="1"/>
    <x v="0"/>
    <s v="Invoice"/>
    <d v="2025-12-15T00:00:00"/>
    <n v="6326"/>
    <n v="23000"/>
    <d v="2025-12-22T00:00:00"/>
    <n v="2025"/>
    <n v="12"/>
    <x v="0"/>
    <x v="5"/>
    <n v="7"/>
  </r>
  <r>
    <x v="3"/>
    <x v="1"/>
    <x v="1"/>
    <x v="1"/>
    <s v="Invoice"/>
    <d v="2026-02-28T00:00:00"/>
    <s v="XXXX"/>
    <n v="22000"/>
    <d v="2026-04-29T00:00:00"/>
    <n v="2026"/>
    <n v="2"/>
    <x v="1"/>
    <x v="3"/>
    <n v="60"/>
  </r>
  <r>
    <x v="4"/>
    <x v="0"/>
    <x v="2"/>
    <x v="0"/>
    <s v="Invoice"/>
    <d v="2024-11-30T00:00:00"/>
    <n v="6135"/>
    <n v="10947"/>
    <d v="2025-01-03T00:00:00"/>
    <n v="2024"/>
    <n v="11"/>
    <x v="0"/>
    <x v="0"/>
    <n v="34"/>
  </r>
  <r>
    <x v="4"/>
    <x v="0"/>
    <x v="2"/>
    <x v="0"/>
    <s v="Invoice"/>
    <d v="2024-12-01T00:00:00"/>
    <n v="6120"/>
    <n v="10066.200000000001"/>
    <d v="2025-01-03T00:00:00"/>
    <n v="2024"/>
    <n v="12"/>
    <x v="0"/>
    <x v="0"/>
    <n v="33"/>
  </r>
  <r>
    <x v="4"/>
    <x v="0"/>
    <x v="2"/>
    <x v="0"/>
    <s v="Invoice"/>
    <d v="2025-01-01T00:00:00"/>
    <n v="6139"/>
    <n v="10066.200000000001"/>
    <d v="2025-01-31T00:00:00"/>
    <n v="2025"/>
    <n v="1"/>
    <x v="0"/>
    <x v="0"/>
    <n v="30"/>
  </r>
  <r>
    <x v="5"/>
    <x v="0"/>
    <x v="2"/>
    <x v="0"/>
    <s v="Invoice"/>
    <d v="2024-11-30T00:00:00"/>
    <n v="6128"/>
    <n v="25812.5"/>
    <d v="2025-01-17T00:00:00"/>
    <n v="2024"/>
    <n v="11"/>
    <x v="0"/>
    <x v="0"/>
    <n v="48"/>
  </r>
  <r>
    <x v="5"/>
    <x v="0"/>
    <x v="2"/>
    <x v="0"/>
    <s v="Invoice"/>
    <d v="2024-12-01T00:00:00"/>
    <n v="6121"/>
    <n v="8750"/>
    <d v="2025-01-31T00:00:00"/>
    <n v="2024"/>
    <n v="12"/>
    <x v="0"/>
    <x v="0"/>
    <n v="61"/>
  </r>
  <r>
    <x v="5"/>
    <x v="0"/>
    <x v="2"/>
    <x v="0"/>
    <s v="Invoice"/>
    <d v="2024-12-31T00:00:00"/>
    <n v="6147"/>
    <n v="3237.5"/>
    <d v="2025-02-14T00:00:00"/>
    <n v="2024"/>
    <n v="12"/>
    <x v="0"/>
    <x v="2"/>
    <n v="45"/>
  </r>
  <r>
    <x v="5"/>
    <x v="0"/>
    <x v="2"/>
    <x v="0"/>
    <s v="Invoice"/>
    <d v="2025-01-01T00:00:00"/>
    <n v="6140"/>
    <n v="8750"/>
    <d v="2025-02-21T00:00:00"/>
    <n v="2025"/>
    <n v="1"/>
    <x v="0"/>
    <x v="2"/>
    <n v="51"/>
  </r>
  <r>
    <x v="5"/>
    <x v="0"/>
    <x v="2"/>
    <x v="0"/>
    <s v="Invoice"/>
    <d v="2025-01-31T00:00:00"/>
    <n v="6162"/>
    <n v="15575"/>
    <d v="2025-03-21T00:00:00"/>
    <n v="2025"/>
    <n v="1"/>
    <x v="0"/>
    <x v="1"/>
    <n v="49"/>
  </r>
  <r>
    <x v="5"/>
    <x v="0"/>
    <x v="2"/>
    <x v="0"/>
    <s v="Invoice"/>
    <d v="2025-02-01T00:00:00"/>
    <n v="6155"/>
    <n v="8750"/>
    <d v="2025-03-21T00:00:00"/>
    <n v="2025"/>
    <n v="2"/>
    <x v="0"/>
    <x v="1"/>
    <n v="48"/>
  </r>
  <r>
    <x v="5"/>
    <x v="0"/>
    <x v="2"/>
    <x v="0"/>
    <s v="Invoice"/>
    <d v="2025-02-28T00:00:00"/>
    <n v="6175"/>
    <n v="15575"/>
    <d v="2025-04-18T00:00:00"/>
    <n v="2025"/>
    <n v="2"/>
    <x v="0"/>
    <x v="3"/>
    <n v="49"/>
  </r>
  <r>
    <x v="5"/>
    <x v="0"/>
    <x v="2"/>
    <x v="0"/>
    <s v="Invoice"/>
    <d v="2025-03-01T00:00:00"/>
    <n v="6170"/>
    <n v="8750"/>
    <d v="2025-04-18T00:00:00"/>
    <n v="2025"/>
    <n v="3"/>
    <x v="0"/>
    <x v="3"/>
    <n v="48"/>
  </r>
  <r>
    <x v="5"/>
    <x v="0"/>
    <x v="2"/>
    <x v="0"/>
    <s v="Invoice"/>
    <d v="2025-04-01T00:00:00"/>
    <n v="6187"/>
    <n v="8750"/>
    <d v="2025-05-16T00:00:00"/>
    <n v="2025"/>
    <n v="4"/>
    <x v="0"/>
    <x v="6"/>
    <n v="45"/>
  </r>
  <r>
    <x v="5"/>
    <x v="0"/>
    <x v="2"/>
    <x v="0"/>
    <s v="Invoice"/>
    <d v="2025-04-30T00:00:00"/>
    <n v="6205"/>
    <n v="3456.25"/>
    <d v="2025-06-13T00:00:00"/>
    <n v="2025"/>
    <n v="4"/>
    <x v="0"/>
    <x v="4"/>
    <n v="44"/>
  </r>
  <r>
    <x v="5"/>
    <x v="0"/>
    <x v="2"/>
    <x v="0"/>
    <s v="Invoice"/>
    <d v="2025-05-01T00:00:00"/>
    <n v="6199"/>
    <n v="8750"/>
    <d v="2025-06-13T00:00:00"/>
    <n v="2025"/>
    <n v="5"/>
    <x v="0"/>
    <x v="4"/>
    <n v="43"/>
  </r>
  <r>
    <x v="5"/>
    <x v="0"/>
    <x v="2"/>
    <x v="0"/>
    <s v="Invoice"/>
    <d v="2025-06-01T00:00:00"/>
    <n v="6214"/>
    <n v="8750"/>
    <d v="2025-07-21T00:00:00"/>
    <n v="2025"/>
    <n v="6"/>
    <x v="0"/>
    <x v="7"/>
    <n v="50"/>
  </r>
  <r>
    <x v="6"/>
    <x v="0"/>
    <x v="2"/>
    <x v="0"/>
    <s v="Invoice"/>
    <d v="2025-07-01T00:00:00"/>
    <n v="6243"/>
    <n v="1930"/>
    <d v="2025-08-28T00:00:00"/>
    <n v="2025"/>
    <n v="7"/>
    <x v="0"/>
    <x v="8"/>
    <n v="58"/>
  </r>
  <r>
    <x v="6"/>
    <x v="0"/>
    <x v="2"/>
    <x v="0"/>
    <s v="Invoice"/>
    <d v="2025-08-01T00:00:00"/>
    <n v="6245"/>
    <n v="1930"/>
    <d v="2025-09-19T00:00:00"/>
    <n v="2025"/>
    <n v="8"/>
    <x v="0"/>
    <x v="9"/>
    <n v="49"/>
  </r>
  <r>
    <x v="6"/>
    <x v="0"/>
    <x v="2"/>
    <x v="0"/>
    <s v="Invoice"/>
    <d v="2025-09-01T00:00:00"/>
    <n v="6262"/>
    <n v="1930"/>
    <d v="2025-10-16T00:00:00"/>
    <n v="2025"/>
    <n v="9"/>
    <x v="0"/>
    <x v="10"/>
    <n v="45"/>
  </r>
  <r>
    <x v="6"/>
    <x v="0"/>
    <x v="2"/>
    <x v="0"/>
    <s v="Invoice"/>
    <d v="2025-10-01T00:00:00"/>
    <n v="6275"/>
    <n v="1930"/>
    <d v="2025-11-13T00:00:00"/>
    <n v="2025"/>
    <n v="10"/>
    <x v="0"/>
    <x v="11"/>
    <n v="43"/>
  </r>
  <r>
    <x v="6"/>
    <x v="0"/>
    <x v="2"/>
    <x v="0"/>
    <s v="Invoice"/>
    <d v="2025-11-01T00:00:00"/>
    <n v="6293"/>
    <n v="1930"/>
    <d v="2025-12-19T00:00:00"/>
    <n v="2025"/>
    <n v="11"/>
    <x v="0"/>
    <x v="5"/>
    <n v="48"/>
  </r>
  <r>
    <x v="6"/>
    <x v="0"/>
    <x v="2"/>
    <x v="0"/>
    <s v="Invoice"/>
    <d v="2025-12-01T00:00:00"/>
    <n v="6311"/>
    <n v="1930"/>
    <d v="2026-01-15T00:00:00"/>
    <n v="2025"/>
    <n v="12"/>
    <x v="1"/>
    <x v="0"/>
    <n v="45"/>
  </r>
  <r>
    <x v="7"/>
    <x v="0"/>
    <x v="2"/>
    <x v="0"/>
    <s v="Invoice"/>
    <d v="2026-01-01T00:00:00"/>
    <n v="6331"/>
    <n v="1930"/>
    <d v="2026-02-15T00:00:00"/>
    <n v="2026"/>
    <n v="1"/>
    <x v="1"/>
    <x v="2"/>
    <n v="45"/>
  </r>
  <r>
    <x v="7"/>
    <x v="0"/>
    <x v="2"/>
    <x v="1"/>
    <s v="Invoice"/>
    <d v="2026-02-01T00:00:00"/>
    <s v="XXXX"/>
    <n v="1930"/>
    <d v="2026-03-18T00:00:00"/>
    <n v="2026"/>
    <n v="2"/>
    <x v="1"/>
    <x v="1"/>
    <n v="45"/>
  </r>
  <r>
    <x v="7"/>
    <x v="0"/>
    <x v="2"/>
    <x v="1"/>
    <s v="Invoice"/>
    <d v="2026-03-01T00:00:00"/>
    <s v="XXXX"/>
    <n v="1930"/>
    <d v="2026-04-15T00:00:00"/>
    <n v="2026"/>
    <n v="3"/>
    <x v="1"/>
    <x v="3"/>
    <n v="45"/>
  </r>
  <r>
    <x v="7"/>
    <x v="0"/>
    <x v="2"/>
    <x v="1"/>
    <s v="Invoice"/>
    <d v="2026-04-01T00:00:00"/>
    <s v="XXXX"/>
    <n v="1930"/>
    <d v="2026-05-16T00:00:00"/>
    <n v="2026"/>
    <n v="4"/>
    <x v="1"/>
    <x v="6"/>
    <n v="45"/>
  </r>
  <r>
    <x v="7"/>
    <x v="0"/>
    <x v="2"/>
    <x v="1"/>
    <s v="Invoice"/>
    <d v="2026-05-01T00:00:00"/>
    <s v="XXXX"/>
    <n v="1930"/>
    <d v="2026-06-15T00:00:00"/>
    <n v="2026"/>
    <n v="5"/>
    <x v="1"/>
    <x v="4"/>
    <n v="45"/>
  </r>
  <r>
    <x v="7"/>
    <x v="0"/>
    <x v="2"/>
    <x v="1"/>
    <s v="Invoice"/>
    <d v="2026-06-01T00:00:00"/>
    <s v="XXXX"/>
    <n v="1930"/>
    <d v="2026-07-16T00:00:00"/>
    <n v="2026"/>
    <n v="6"/>
    <x v="1"/>
    <x v="7"/>
    <n v="45"/>
  </r>
  <r>
    <x v="7"/>
    <x v="0"/>
    <x v="2"/>
    <x v="1"/>
    <s v="Invoice"/>
    <d v="2026-07-01T00:00:00"/>
    <s v="XXXX"/>
    <n v="1930"/>
    <d v="2026-08-15T00:00:00"/>
    <n v="2026"/>
    <n v="7"/>
    <x v="1"/>
    <x v="8"/>
    <n v="45"/>
  </r>
  <r>
    <x v="7"/>
    <x v="0"/>
    <x v="2"/>
    <x v="1"/>
    <s v="Invoice"/>
    <d v="2026-08-01T00:00:00"/>
    <s v="XXXX"/>
    <n v="1930"/>
    <d v="2026-09-15T00:00:00"/>
    <n v="2026"/>
    <n v="8"/>
    <x v="1"/>
    <x v="9"/>
    <n v="45"/>
  </r>
  <r>
    <x v="7"/>
    <x v="0"/>
    <x v="2"/>
    <x v="1"/>
    <s v="Invoice"/>
    <d v="2026-09-01T00:00:00"/>
    <s v="XXXX"/>
    <n v="1930"/>
    <d v="2026-10-16T00:00:00"/>
    <n v="2026"/>
    <n v="9"/>
    <x v="1"/>
    <x v="10"/>
    <n v="45"/>
  </r>
  <r>
    <x v="7"/>
    <x v="0"/>
    <x v="2"/>
    <x v="1"/>
    <s v="Invoice"/>
    <d v="2026-10-01T00:00:00"/>
    <s v="XXXX"/>
    <n v="1930"/>
    <d v="2026-11-15T00:00:00"/>
    <n v="2026"/>
    <n v="10"/>
    <x v="1"/>
    <x v="11"/>
    <n v="45"/>
  </r>
  <r>
    <x v="7"/>
    <x v="0"/>
    <x v="2"/>
    <x v="1"/>
    <s v="Invoice"/>
    <d v="2026-11-01T00:00:00"/>
    <s v="XXXX"/>
    <n v="1930"/>
    <d v="2026-12-16T00:00:00"/>
    <n v="2026"/>
    <n v="11"/>
    <x v="1"/>
    <x v="5"/>
    <n v="45"/>
  </r>
  <r>
    <x v="7"/>
    <x v="0"/>
    <x v="2"/>
    <x v="1"/>
    <s v="Invoice"/>
    <d v="2026-12-01T00:00:00"/>
    <s v="XXXX"/>
    <n v="1930"/>
    <d v="2027-01-15T00:00:00"/>
    <n v="2026"/>
    <n v="12"/>
    <x v="2"/>
    <x v="0"/>
    <n v="45"/>
  </r>
  <r>
    <x v="8"/>
    <x v="0"/>
    <x v="1"/>
    <x v="0"/>
    <s v="Invoice"/>
    <d v="2024-11-30T00:00:00"/>
    <s v="REV6132"/>
    <n v="4650"/>
    <d v="2025-01-13T00:00:00"/>
    <n v="2024"/>
    <n v="11"/>
    <x v="0"/>
    <x v="0"/>
    <n v="44"/>
  </r>
  <r>
    <x v="8"/>
    <x v="0"/>
    <x v="1"/>
    <x v="0"/>
    <s v="Invoice"/>
    <d v="2024-12-31T00:00:00"/>
    <n v="6151"/>
    <n v="6935"/>
    <d v="2025-02-04T00:00:00"/>
    <n v="2024"/>
    <n v="12"/>
    <x v="0"/>
    <x v="2"/>
    <n v="35"/>
  </r>
  <r>
    <x v="8"/>
    <x v="0"/>
    <x v="1"/>
    <x v="0"/>
    <s v="Invoice"/>
    <d v="2025-01-31T00:00:00"/>
    <n v="6165"/>
    <n v="3615"/>
    <d v="2025-02-27T00:00:00"/>
    <n v="2025"/>
    <n v="1"/>
    <x v="0"/>
    <x v="2"/>
    <n v="27"/>
  </r>
  <r>
    <x v="8"/>
    <x v="0"/>
    <x v="1"/>
    <x v="0"/>
    <s v="Invoice"/>
    <d v="2025-02-28T00:00:00"/>
    <n v="6179"/>
    <n v="495"/>
    <d v="2025-04-08T00:00:00"/>
    <n v="2025"/>
    <n v="2"/>
    <x v="0"/>
    <x v="3"/>
    <n v="39"/>
  </r>
  <r>
    <x v="9"/>
    <x v="1"/>
    <x v="1"/>
    <x v="0"/>
    <s v="Invoice"/>
    <d v="2025-03-24T00:00:00"/>
    <n v="6185"/>
    <n v="25000"/>
    <d v="2025-04-28T00:00:00"/>
    <n v="2025"/>
    <n v="3"/>
    <x v="0"/>
    <x v="3"/>
    <n v="35"/>
  </r>
  <r>
    <x v="9"/>
    <x v="1"/>
    <x v="1"/>
    <x v="0"/>
    <s v="Invoice"/>
    <d v="2025-04-24T00:00:00"/>
    <n v="6198"/>
    <n v="25000"/>
    <d v="2025-07-15T00:00:00"/>
    <n v="2025"/>
    <n v="4"/>
    <x v="0"/>
    <x v="7"/>
    <n v="82"/>
  </r>
  <r>
    <x v="9"/>
    <x v="1"/>
    <x v="1"/>
    <x v="0"/>
    <s v="Invoice"/>
    <d v="2025-05-24T00:00:00"/>
    <n v="6213"/>
    <n v="20000"/>
    <d v="2025-07-15T00:00:00"/>
    <n v="2025"/>
    <n v="5"/>
    <x v="0"/>
    <x v="7"/>
    <n v="52"/>
  </r>
  <r>
    <x v="9"/>
    <x v="1"/>
    <x v="1"/>
    <x v="0"/>
    <s v="Invoice"/>
    <d v="2025-06-13T00:00:00"/>
    <n v="6225"/>
    <n v="12000"/>
    <d v="2025-07-15T00:00:00"/>
    <n v="2025"/>
    <n v="6"/>
    <x v="0"/>
    <x v="7"/>
    <n v="32"/>
  </r>
  <r>
    <x v="10"/>
    <x v="1"/>
    <x v="1"/>
    <x v="0"/>
    <s v="Invoice"/>
    <d v="2025-07-01T00:00:00"/>
    <n v="6244"/>
    <n v="12000"/>
    <d v="2025-08-12T00:00:00"/>
    <n v="2025"/>
    <n v="7"/>
    <x v="0"/>
    <x v="8"/>
    <n v="42"/>
  </r>
  <r>
    <x v="10"/>
    <x v="1"/>
    <x v="1"/>
    <x v="0"/>
    <s v="Invoice"/>
    <d v="2025-08-01T00:00:00"/>
    <n v="6250"/>
    <n v="12000"/>
    <d v="2025-09-15T00:00:00"/>
    <n v="2025"/>
    <n v="8"/>
    <x v="0"/>
    <x v="9"/>
    <n v="45"/>
  </r>
  <r>
    <x v="10"/>
    <x v="1"/>
    <x v="1"/>
    <x v="0"/>
    <s v="Invoice"/>
    <d v="2025-09-01T00:00:00"/>
    <n v="6267"/>
    <n v="12000"/>
    <d v="2025-10-15T00:00:00"/>
    <n v="2025"/>
    <n v="9"/>
    <x v="0"/>
    <x v="10"/>
    <n v="44"/>
  </r>
  <r>
    <x v="10"/>
    <x v="1"/>
    <x v="1"/>
    <x v="0"/>
    <s v="Invoice"/>
    <d v="2025-10-01T00:00:00"/>
    <n v="6280"/>
    <n v="12000"/>
    <d v="2025-11-04T00:00:00"/>
    <n v="2025"/>
    <n v="10"/>
    <x v="0"/>
    <x v="11"/>
    <n v="34"/>
  </r>
  <r>
    <x v="10"/>
    <x v="1"/>
    <x v="1"/>
    <x v="0"/>
    <s v="Invoice"/>
    <d v="2025-11-01T00:00:00"/>
    <n v="6297"/>
    <n v="12000"/>
    <d v="2025-12-15T00:00:00"/>
    <n v="2025"/>
    <n v="11"/>
    <x v="0"/>
    <x v="5"/>
    <n v="44"/>
  </r>
  <r>
    <x v="10"/>
    <x v="1"/>
    <x v="1"/>
    <x v="0"/>
    <s v="Invoice"/>
    <d v="2025-12-01T00:00:00"/>
    <n v="6316"/>
    <n v="12000"/>
    <d v="2026-01-02T00:00:00"/>
    <n v="2025"/>
    <n v="12"/>
    <x v="1"/>
    <x v="0"/>
    <n v="32"/>
  </r>
  <r>
    <x v="10"/>
    <x v="1"/>
    <x v="1"/>
    <x v="0"/>
    <s v="Invoice"/>
    <d v="2026-01-01T00:00:00"/>
    <n v="6336"/>
    <n v="12000"/>
    <d v="2026-02-15T00:00:00"/>
    <n v="2026"/>
    <n v="1"/>
    <x v="1"/>
    <x v="2"/>
    <n v="45"/>
  </r>
  <r>
    <x v="10"/>
    <x v="1"/>
    <x v="1"/>
    <x v="1"/>
    <s v="Invoice"/>
    <d v="2026-02-01T00:00:00"/>
    <s v="XXXX"/>
    <n v="12000"/>
    <d v="2026-03-18T00:00:00"/>
    <n v="2026"/>
    <n v="2"/>
    <x v="1"/>
    <x v="1"/>
    <n v="45"/>
  </r>
  <r>
    <x v="10"/>
    <x v="1"/>
    <x v="1"/>
    <x v="1"/>
    <s v="Invoice"/>
    <d v="2026-03-01T00:00:00"/>
    <s v="XXXX"/>
    <n v="12000"/>
    <d v="2026-04-15T00:00:00"/>
    <n v="2026"/>
    <n v="3"/>
    <x v="1"/>
    <x v="3"/>
    <n v="45"/>
  </r>
  <r>
    <x v="10"/>
    <x v="1"/>
    <x v="1"/>
    <x v="1"/>
    <s v="Invoice"/>
    <d v="2026-04-01T00:00:00"/>
    <s v="XXXX"/>
    <n v="12000"/>
    <d v="2026-05-16T00:00:00"/>
    <n v="2026"/>
    <n v="4"/>
    <x v="1"/>
    <x v="6"/>
    <n v="45"/>
  </r>
  <r>
    <x v="10"/>
    <x v="1"/>
    <x v="1"/>
    <x v="1"/>
    <s v="Invoice"/>
    <d v="2026-05-01T00:00:00"/>
    <s v="XXXX"/>
    <n v="12000"/>
    <d v="2026-06-15T00:00:00"/>
    <n v="2026"/>
    <n v="5"/>
    <x v="1"/>
    <x v="4"/>
    <n v="45"/>
  </r>
  <r>
    <x v="10"/>
    <x v="1"/>
    <x v="1"/>
    <x v="1"/>
    <s v="Invoice"/>
    <d v="2026-06-01T00:00:00"/>
    <s v="XXXX"/>
    <n v="12000"/>
    <d v="2026-07-16T00:00:00"/>
    <n v="2026"/>
    <n v="6"/>
    <x v="1"/>
    <x v="7"/>
    <n v="45"/>
  </r>
  <r>
    <x v="11"/>
    <x v="0"/>
    <x v="1"/>
    <x v="0"/>
    <s v="Invoice"/>
    <d v="2025-03-31T00:00:00"/>
    <n v="6196"/>
    <n v="2628.8"/>
    <d v="2025-05-12T00:00:00"/>
    <n v="2025"/>
    <n v="3"/>
    <x v="0"/>
    <x v="6"/>
    <n v="42"/>
  </r>
  <r>
    <x v="11"/>
    <x v="0"/>
    <x v="1"/>
    <x v="0"/>
    <s v="Invoice"/>
    <d v="2025-04-30T00:00:00"/>
    <n v="6210"/>
    <n v="17046.8"/>
    <d v="2025-06-16T00:00:00"/>
    <n v="2025"/>
    <n v="4"/>
    <x v="0"/>
    <x v="4"/>
    <n v="47"/>
  </r>
  <r>
    <x v="11"/>
    <x v="0"/>
    <x v="1"/>
    <x v="0"/>
    <s v="Invoice"/>
    <d v="2025-05-31T00:00:00"/>
    <n v="6223"/>
    <n v="16716.8"/>
    <d v="2025-07-15T00:00:00"/>
    <n v="2025"/>
    <n v="5"/>
    <x v="0"/>
    <x v="7"/>
    <n v="45"/>
  </r>
  <r>
    <x v="11"/>
    <x v="0"/>
    <x v="1"/>
    <x v="0"/>
    <s v="Invoice"/>
    <d v="2025-06-10T00:00:00"/>
    <n v="6224"/>
    <n v="14007.6"/>
    <d v="2025-07-15T00:00:00"/>
    <n v="2025"/>
    <n v="6"/>
    <x v="0"/>
    <x v="7"/>
    <n v="35"/>
  </r>
  <r>
    <x v="12"/>
    <x v="0"/>
    <x v="1"/>
    <x v="0"/>
    <s v="Invoice"/>
    <d v="2025-06-30T00:00:00"/>
    <n v="6256"/>
    <n v="1100"/>
    <d v="2025-09-15T00:00:00"/>
    <n v="2025"/>
    <n v="6"/>
    <x v="0"/>
    <x v="9"/>
    <n v="77"/>
  </r>
  <r>
    <x v="12"/>
    <x v="0"/>
    <x v="1"/>
    <x v="0"/>
    <s v="Invoice"/>
    <d v="2025-07-31T00:00:00"/>
    <n v="6257"/>
    <n v="2200"/>
    <d v="2025-09-15T00:00:00"/>
    <n v="2025"/>
    <n v="7"/>
    <x v="0"/>
    <x v="9"/>
    <n v="46"/>
  </r>
  <r>
    <x v="12"/>
    <x v="0"/>
    <x v="1"/>
    <x v="0"/>
    <s v="Invoice"/>
    <d v="2025-08-31T00:00:00"/>
    <n v="6269"/>
    <n v="2200"/>
    <d v="2025-10-01T00:00:00"/>
    <n v="2025"/>
    <n v="8"/>
    <x v="0"/>
    <x v="10"/>
    <n v="31"/>
  </r>
  <r>
    <x v="12"/>
    <x v="0"/>
    <x v="1"/>
    <x v="0"/>
    <s v="Invoice"/>
    <d v="2025-09-30T00:00:00"/>
    <n v="6284"/>
    <n v="2200"/>
    <d v="2025-11-04T00:00:00"/>
    <n v="2025"/>
    <n v="9"/>
    <x v="0"/>
    <x v="11"/>
    <n v="35"/>
  </r>
  <r>
    <x v="12"/>
    <x v="0"/>
    <x v="1"/>
    <x v="0"/>
    <s v="Invoice"/>
    <d v="2025-10-31T00:00:00"/>
    <n v="6309"/>
    <n v="2200"/>
    <d v="2025-12-10T00:00:00"/>
    <n v="2025"/>
    <n v="10"/>
    <x v="0"/>
    <x v="5"/>
    <n v="40"/>
  </r>
  <r>
    <x v="12"/>
    <x v="0"/>
    <x v="1"/>
    <x v="0"/>
    <s v="Invoice"/>
    <d v="2025-11-30T00:00:00"/>
    <n v="6318"/>
    <n v="2200"/>
    <d v="2026-01-02T00:00:00"/>
    <n v="2025"/>
    <n v="11"/>
    <x v="1"/>
    <x v="0"/>
    <n v="33"/>
  </r>
  <r>
    <x v="12"/>
    <x v="0"/>
    <x v="1"/>
    <x v="0"/>
    <s v="Invoice"/>
    <d v="2025-12-31T00:00:00"/>
    <n v="6329"/>
    <n v="2200"/>
    <d v="2026-02-14T00:00:00"/>
    <n v="2025"/>
    <n v="12"/>
    <x v="1"/>
    <x v="2"/>
    <n v="45"/>
  </r>
  <r>
    <x v="13"/>
    <x v="1"/>
    <x v="1"/>
    <x v="0"/>
    <s v="Invoice"/>
    <d v="2025-07-01T00:00:00"/>
    <n v="6234"/>
    <n v="25000"/>
    <d v="2025-08-12T00:00:00"/>
    <n v="2025"/>
    <n v="7"/>
    <x v="0"/>
    <x v="8"/>
    <n v="42"/>
  </r>
  <r>
    <x v="13"/>
    <x v="1"/>
    <x v="1"/>
    <x v="0"/>
    <s v="Invoice"/>
    <d v="2025-07-31T00:00:00"/>
    <n v="6251"/>
    <n v="10000"/>
    <d v="2025-09-15T00:00:00"/>
    <n v="2025"/>
    <n v="7"/>
    <x v="0"/>
    <x v="9"/>
    <n v="46"/>
  </r>
  <r>
    <x v="13"/>
    <x v="1"/>
    <x v="1"/>
    <x v="0"/>
    <s v="Invoice"/>
    <d v="2025-08-31T00:00:00"/>
    <n v="6268"/>
    <n v="10000"/>
    <d v="2025-10-15T00:00:00"/>
    <n v="2025"/>
    <n v="8"/>
    <x v="0"/>
    <x v="10"/>
    <n v="45"/>
  </r>
  <r>
    <x v="13"/>
    <x v="1"/>
    <x v="1"/>
    <x v="0"/>
    <s v="Invoice"/>
    <d v="2025-10-31T00:00:00"/>
    <n v="6298"/>
    <n v="5000"/>
    <d v="2025-12-10T00:00:00"/>
    <n v="2025"/>
    <n v="10"/>
    <x v="0"/>
    <x v="5"/>
    <n v="40"/>
  </r>
  <r>
    <x v="13"/>
    <x v="1"/>
    <x v="1"/>
    <x v="0"/>
    <s v="Invoice"/>
    <d v="2025-11-01T00:00:00"/>
    <n v="6299"/>
    <n v="3000"/>
    <d v="2025-12-10T00:00:00"/>
    <n v="2025"/>
    <n v="11"/>
    <x v="0"/>
    <x v="5"/>
    <n v="39"/>
  </r>
  <r>
    <x v="13"/>
    <x v="1"/>
    <x v="1"/>
    <x v="0"/>
    <s v="Invoice"/>
    <d v="2025-12-01T00:00:00"/>
    <n v="6315"/>
    <n v="3000"/>
    <d v="2026-01-02T00:00:00"/>
    <n v="2025"/>
    <n v="12"/>
    <x v="1"/>
    <x v="0"/>
    <n v="32"/>
  </r>
  <r>
    <x v="13"/>
    <x v="1"/>
    <x v="1"/>
    <x v="0"/>
    <s v="Invoice"/>
    <d v="2026-01-01T00:00:00"/>
    <n v="6335"/>
    <n v="3000"/>
    <d v="2026-02-15T00:00:00"/>
    <n v="2026"/>
    <n v="1"/>
    <x v="1"/>
    <x v="2"/>
    <n v="45"/>
  </r>
  <r>
    <x v="13"/>
    <x v="1"/>
    <x v="1"/>
    <x v="1"/>
    <s v="Invoice"/>
    <d v="2026-02-01T00:00:00"/>
    <s v="XXXX"/>
    <n v="3000"/>
    <d v="2026-03-18T00:00:00"/>
    <n v="2026"/>
    <n v="2"/>
    <x v="1"/>
    <x v="1"/>
    <n v="45"/>
  </r>
  <r>
    <x v="13"/>
    <x v="1"/>
    <x v="1"/>
    <x v="1"/>
    <s v="Invoice"/>
    <d v="2026-03-01T00:00:00"/>
    <s v="XXXX"/>
    <n v="3000"/>
    <d v="2026-04-15T00:00:00"/>
    <n v="2026"/>
    <n v="3"/>
    <x v="1"/>
    <x v="3"/>
    <n v="45"/>
  </r>
  <r>
    <x v="13"/>
    <x v="1"/>
    <x v="1"/>
    <x v="1"/>
    <s v="Invoice"/>
    <d v="2026-04-01T00:00:00"/>
    <s v="XXXX"/>
    <n v="3000"/>
    <d v="2026-05-16T00:00:00"/>
    <n v="2026"/>
    <n v="4"/>
    <x v="1"/>
    <x v="6"/>
    <n v="45"/>
  </r>
  <r>
    <x v="13"/>
    <x v="1"/>
    <x v="1"/>
    <x v="1"/>
    <s v="Invoice"/>
    <d v="2026-05-01T00:00:00"/>
    <s v="XXXX"/>
    <n v="3000"/>
    <d v="2026-06-15T00:00:00"/>
    <n v="2026"/>
    <n v="5"/>
    <x v="1"/>
    <x v="4"/>
    <n v="45"/>
  </r>
  <r>
    <x v="13"/>
    <x v="1"/>
    <x v="1"/>
    <x v="1"/>
    <s v="Invoice"/>
    <d v="2026-06-01T00:00:00"/>
    <s v="XXXX"/>
    <n v="3000"/>
    <d v="2026-07-16T00:00:00"/>
    <n v="2026"/>
    <n v="6"/>
    <x v="1"/>
    <x v="7"/>
    <n v="45"/>
  </r>
  <r>
    <x v="13"/>
    <x v="1"/>
    <x v="1"/>
    <x v="1"/>
    <s v="Invoice"/>
    <d v="2026-07-01T00:00:00"/>
    <s v="XXXX"/>
    <n v="3000"/>
    <d v="2026-08-15T00:00:00"/>
    <n v="2026"/>
    <n v="7"/>
    <x v="1"/>
    <x v="8"/>
    <n v="45"/>
  </r>
  <r>
    <x v="13"/>
    <x v="1"/>
    <x v="1"/>
    <x v="1"/>
    <s v="Invoice"/>
    <d v="2026-08-01T00:00:00"/>
    <s v="XXXX"/>
    <n v="3000"/>
    <d v="2026-09-15T00:00:00"/>
    <n v="2026"/>
    <n v="8"/>
    <x v="1"/>
    <x v="9"/>
    <n v="45"/>
  </r>
  <r>
    <x v="13"/>
    <x v="1"/>
    <x v="1"/>
    <x v="1"/>
    <s v="Invoice"/>
    <d v="2026-09-01T00:00:00"/>
    <s v="XXXX"/>
    <n v="3000"/>
    <d v="2026-10-16T00:00:00"/>
    <n v="2026"/>
    <n v="9"/>
    <x v="1"/>
    <x v="10"/>
    <n v="45"/>
  </r>
  <r>
    <x v="13"/>
    <x v="1"/>
    <x v="1"/>
    <x v="1"/>
    <s v="Invoice"/>
    <d v="2026-10-01T00:00:00"/>
    <s v="XXXX"/>
    <n v="3000"/>
    <d v="2026-11-15T00:00:00"/>
    <n v="2026"/>
    <n v="10"/>
    <x v="1"/>
    <x v="11"/>
    <n v="45"/>
  </r>
  <r>
    <x v="14"/>
    <x v="1"/>
    <x v="2"/>
    <x v="0"/>
    <s v="Invoice"/>
    <d v="2024-12-19T00:00:00"/>
    <n v="6137"/>
    <n v="50000"/>
    <d v="2025-02-06T00:00:00"/>
    <n v="2024"/>
    <n v="12"/>
    <x v="0"/>
    <x v="2"/>
    <n v="49"/>
  </r>
  <r>
    <x v="14"/>
    <x v="1"/>
    <x v="2"/>
    <x v="0"/>
    <s v="Invoice"/>
    <d v="2025-01-01T00:00:00"/>
    <n v="6161"/>
    <n v="31667.66"/>
    <d v="2025-03-25T00:00:00"/>
    <n v="2025"/>
    <n v="1"/>
    <x v="0"/>
    <x v="1"/>
    <n v="83"/>
  </r>
  <r>
    <x v="14"/>
    <x v="1"/>
    <x v="2"/>
    <x v="0"/>
    <s v="Invoice"/>
    <d v="2025-02-01T00:00:00"/>
    <n v="6169"/>
    <n v="31667.66"/>
    <d v="2025-03-25T00:00:00"/>
    <n v="2025"/>
    <n v="2"/>
    <x v="0"/>
    <x v="1"/>
    <n v="52"/>
  </r>
  <r>
    <x v="14"/>
    <x v="1"/>
    <x v="2"/>
    <x v="0"/>
    <s v="Invoice"/>
    <d v="2025-03-01T00:00:00"/>
    <n v="6183"/>
    <n v="31667.66"/>
    <d v="2025-03-25T00:00:00"/>
    <n v="2025"/>
    <n v="3"/>
    <x v="0"/>
    <x v="1"/>
    <n v="24"/>
  </r>
  <r>
    <x v="14"/>
    <x v="1"/>
    <x v="2"/>
    <x v="0"/>
    <s v="Invoice"/>
    <d v="2025-03-31T00:00:00"/>
    <n v="6184"/>
    <n v="29995"/>
    <d v="2025-03-25T00:00:00"/>
    <n v="2025"/>
    <n v="3"/>
    <x v="0"/>
    <x v="1"/>
    <n v="-6"/>
  </r>
  <r>
    <x v="15"/>
    <x v="1"/>
    <x v="2"/>
    <x v="0"/>
    <s v="Invoice"/>
    <d v="2025-02-28T00:00:00"/>
    <n v="6177"/>
    <n v="1295"/>
    <d v="2025-03-25T00:00:00"/>
    <n v="2025"/>
    <n v="2"/>
    <x v="0"/>
    <x v="1"/>
    <n v="25"/>
  </r>
  <r>
    <x v="15"/>
    <x v="1"/>
    <x v="2"/>
    <x v="0"/>
    <s v="Invoice"/>
    <d v="2025-03-31T00:00:00"/>
    <n v="6194"/>
    <n v="11377.5"/>
    <d v="2025-04-15T00:00:00"/>
    <n v="2025"/>
    <n v="3"/>
    <x v="0"/>
    <x v="3"/>
    <n v="15"/>
  </r>
  <r>
    <x v="15"/>
    <x v="1"/>
    <x v="2"/>
    <x v="0"/>
    <s v="Invoice"/>
    <d v="2025-04-30T00:00:00"/>
    <n v="6208"/>
    <n v="27472.5"/>
    <d v="2025-06-04T00:00:00"/>
    <n v="2025"/>
    <n v="4"/>
    <x v="0"/>
    <x v="4"/>
    <n v="35"/>
  </r>
  <r>
    <x v="15"/>
    <x v="1"/>
    <x v="2"/>
    <x v="0"/>
    <s v="Invoice"/>
    <d v="2025-05-31T00:00:00"/>
    <n v="6221"/>
    <n v="2855"/>
    <d v="2025-06-18T00:00:00"/>
    <n v="2025"/>
    <n v="5"/>
    <x v="0"/>
    <x v="4"/>
    <n v="18"/>
  </r>
  <r>
    <x v="16"/>
    <x v="1"/>
    <x v="2"/>
    <x v="0"/>
    <s v="Invoice"/>
    <d v="2025-10-01T00:00:00"/>
    <n v="6291"/>
    <n v="3250"/>
    <d v="2025-11-26T00:00:00"/>
    <n v="2025"/>
    <n v="10"/>
    <x v="0"/>
    <x v="11"/>
    <n v="56"/>
  </r>
  <r>
    <x v="16"/>
    <x v="1"/>
    <x v="2"/>
    <x v="0"/>
    <s v="Invoice"/>
    <d v="2025-10-31T00:00:00"/>
    <n v="6303"/>
    <n v="14750"/>
    <d v="2025-12-03T00:00:00"/>
    <n v="2025"/>
    <n v="10"/>
    <x v="0"/>
    <x v="5"/>
    <n v="33"/>
  </r>
  <r>
    <x v="16"/>
    <x v="1"/>
    <x v="2"/>
    <x v="0"/>
    <s v="Invoice"/>
    <d v="2025-11-01T00:00:00"/>
    <n v="6292"/>
    <n v="3250"/>
    <d v="2025-12-03T00:00:00"/>
    <n v="2025"/>
    <n v="11"/>
    <x v="0"/>
    <x v="5"/>
    <n v="32"/>
  </r>
  <r>
    <x v="16"/>
    <x v="1"/>
    <x v="2"/>
    <x v="0"/>
    <s v="Invoice"/>
    <d v="2025-12-01T00:00:00"/>
    <n v="6310"/>
    <n v="3250"/>
    <d v="2025-12-31T00:00:00"/>
    <n v="2025"/>
    <n v="12"/>
    <x v="0"/>
    <x v="5"/>
    <n v="30"/>
  </r>
  <r>
    <x v="16"/>
    <x v="1"/>
    <x v="2"/>
    <x v="0"/>
    <s v="Invoice"/>
    <d v="2025-11-30T00:00:00"/>
    <n v="6322"/>
    <n v="32167.31"/>
    <d v="2025-12-31T00:00:00"/>
    <n v="2025"/>
    <n v="11"/>
    <x v="0"/>
    <x v="5"/>
    <n v="31"/>
  </r>
  <r>
    <x v="16"/>
    <x v="1"/>
    <x v="2"/>
    <x v="0"/>
    <s v="Invoice"/>
    <d v="2025-12-31T00:00:00"/>
    <n v="6341"/>
    <n v="20000.400000000001"/>
    <d v="2026-02-14T00:00:00"/>
    <n v="2025"/>
    <n v="12"/>
    <x v="1"/>
    <x v="2"/>
    <n v="45"/>
  </r>
  <r>
    <x v="16"/>
    <x v="1"/>
    <x v="2"/>
    <x v="0"/>
    <s v="Invoice"/>
    <d v="2026-01-01T00:00:00"/>
    <n v="6330"/>
    <n v="3250"/>
    <d v="2026-02-15T00:00:00"/>
    <n v="2026"/>
    <n v="1"/>
    <x v="1"/>
    <x v="2"/>
    <n v="45"/>
  </r>
  <r>
    <x v="16"/>
    <x v="1"/>
    <x v="2"/>
    <x v="1"/>
    <s v="Invoice"/>
    <d v="2026-01-31T00:00:00"/>
    <s v="XXXX"/>
    <n v="10000"/>
    <d v="2026-03-17T00:00:00"/>
    <n v="2026"/>
    <n v="1"/>
    <x v="1"/>
    <x v="1"/>
    <n v="45"/>
  </r>
  <r>
    <x v="16"/>
    <x v="1"/>
    <x v="2"/>
    <x v="1"/>
    <s v="Invoice"/>
    <d v="2026-02-01T00:00:00"/>
    <s v="XXXX"/>
    <n v="3250"/>
    <d v="2026-03-18T00:00:00"/>
    <n v="2026"/>
    <n v="2"/>
    <x v="1"/>
    <x v="1"/>
    <n v="45"/>
  </r>
  <r>
    <x v="16"/>
    <x v="1"/>
    <x v="2"/>
    <x v="1"/>
    <s v="Invoice"/>
    <d v="2026-03-01T00:00:00"/>
    <s v="XXXX"/>
    <n v="3250"/>
    <d v="2026-04-15T00:00:00"/>
    <n v="2026"/>
    <n v="3"/>
    <x v="1"/>
    <x v="3"/>
    <n v="45"/>
  </r>
  <r>
    <x v="17"/>
    <x v="1"/>
    <x v="2"/>
    <x v="0"/>
    <s v="Invoice"/>
    <d v="2025-12-15T00:00:00"/>
    <n v="6327"/>
    <n v="509236"/>
    <d v="2026-01-14T00:00:00"/>
    <n v="2025"/>
    <n v="12"/>
    <x v="1"/>
    <x v="0"/>
    <n v="30"/>
  </r>
  <r>
    <x v="17"/>
    <x v="1"/>
    <x v="2"/>
    <x v="1"/>
    <s v="Invoice"/>
    <d v="2026-01-31T00:00:00"/>
    <s v="XXXX"/>
    <n v="0"/>
    <d v="2026-02-10T00:00:00"/>
    <n v="2026"/>
    <n v="1"/>
    <x v="1"/>
    <x v="2"/>
    <n v="10"/>
  </r>
  <r>
    <x v="18"/>
    <x v="0"/>
    <x v="0"/>
    <x v="0"/>
    <s v="Invoice"/>
    <d v="2025-06-01T00:00:00"/>
    <n v="6220"/>
    <n v="34500"/>
    <d v="2025-07-08T00:00:00"/>
    <n v="2025"/>
    <n v="6"/>
    <x v="0"/>
    <x v="7"/>
    <n v="37"/>
  </r>
  <r>
    <x v="18"/>
    <x v="0"/>
    <x v="0"/>
    <x v="0"/>
    <s v="Invoice"/>
    <d v="2025-06-30T00:00:00"/>
    <n v="6242"/>
    <n v="17500"/>
    <d v="2025-09-30T00:00:00"/>
    <n v="2025"/>
    <n v="6"/>
    <x v="0"/>
    <x v="9"/>
    <n v="92"/>
  </r>
  <r>
    <x v="18"/>
    <x v="0"/>
    <x v="0"/>
    <x v="0"/>
    <s v="Invoice"/>
    <d v="2025-07-31T00:00:00"/>
    <n v="6255"/>
    <n v="17500"/>
    <d v="2025-11-07T00:00:00"/>
    <n v="2025"/>
    <n v="7"/>
    <x v="0"/>
    <x v="11"/>
    <n v="99"/>
  </r>
  <r>
    <x v="19"/>
    <x v="0"/>
    <x v="0"/>
    <x v="0"/>
    <s v="Invoice"/>
    <d v="2025-06-01T00:00:00"/>
    <n v="6219"/>
    <n v="10000"/>
    <d v="2025-07-08T00:00:00"/>
    <n v="2025"/>
    <n v="6"/>
    <x v="0"/>
    <x v="7"/>
    <n v="37"/>
  </r>
  <r>
    <x v="19"/>
    <x v="0"/>
    <x v="0"/>
    <x v="0"/>
    <s v="Invoice"/>
    <d v="2025-07-01T00:00:00"/>
    <n v="6229"/>
    <n v="10000"/>
    <d v="2025-09-30T00:00:00"/>
    <n v="2025"/>
    <n v="7"/>
    <x v="0"/>
    <x v="9"/>
    <n v="91"/>
  </r>
  <r>
    <x v="19"/>
    <x v="0"/>
    <x v="0"/>
    <x v="0"/>
    <s v="Invoice"/>
    <d v="2025-08-01T00:00:00"/>
    <n v="6246"/>
    <n v="10000"/>
    <d v="2025-11-07T00:00:00"/>
    <n v="2025"/>
    <n v="8"/>
    <x v="0"/>
    <x v="11"/>
    <n v="98"/>
  </r>
  <r>
    <x v="19"/>
    <x v="0"/>
    <x v="0"/>
    <x v="0"/>
    <s v="Invoice"/>
    <d v="2025-09-01T00:00:00"/>
    <n v="6264"/>
    <n v="10000"/>
    <d v="2025-11-07T00:00:00"/>
    <n v="2025"/>
    <n v="9"/>
    <x v="0"/>
    <x v="11"/>
    <n v="67"/>
  </r>
  <r>
    <x v="19"/>
    <x v="0"/>
    <x v="0"/>
    <x v="0"/>
    <s v="Invoice"/>
    <d v="2025-10-01T00:00:00"/>
    <n v="6277"/>
    <n v="10000"/>
    <d v="2025-12-18T00:00:00"/>
    <n v="2025"/>
    <n v="10"/>
    <x v="0"/>
    <x v="5"/>
    <n v="78"/>
  </r>
  <r>
    <x v="19"/>
    <x v="0"/>
    <x v="0"/>
    <x v="0"/>
    <s v="Invoice"/>
    <d v="2025-11-01T00:00:00"/>
    <n v="6294"/>
    <n v="10000"/>
    <d v="2025-12-18T00:00:00"/>
    <n v="2025"/>
    <n v="11"/>
    <x v="0"/>
    <x v="5"/>
    <n v="47"/>
  </r>
  <r>
    <x v="19"/>
    <x v="0"/>
    <x v="0"/>
    <x v="0"/>
    <s v="Invoice"/>
    <d v="2025-12-01T00:00:00"/>
    <n v="6312"/>
    <n v="10000"/>
    <d v="2025-12-18T00:00:00"/>
    <n v="2025"/>
    <n v="12"/>
    <x v="0"/>
    <x v="5"/>
    <n v="17"/>
  </r>
  <r>
    <x v="19"/>
    <x v="0"/>
    <x v="0"/>
    <x v="0"/>
    <s v="Invoice"/>
    <d v="2026-01-01T00:00:00"/>
    <n v="6332"/>
    <n v="10000"/>
    <d v="2026-02-15T00:00:00"/>
    <n v="2026"/>
    <n v="1"/>
    <x v="1"/>
    <x v="2"/>
    <n v="45"/>
  </r>
  <r>
    <x v="19"/>
    <x v="0"/>
    <x v="0"/>
    <x v="1"/>
    <s v="Invoice"/>
    <d v="2026-02-01T00:00:00"/>
    <s v="XXXX"/>
    <n v="10000"/>
    <d v="2026-03-18T00:00:00"/>
    <n v="2026"/>
    <n v="2"/>
    <x v="1"/>
    <x v="1"/>
    <n v="45"/>
  </r>
  <r>
    <x v="19"/>
    <x v="0"/>
    <x v="0"/>
    <x v="1"/>
    <s v="Invoice"/>
    <d v="2026-03-01T00:00:00"/>
    <s v="XXXX"/>
    <n v="10000"/>
    <d v="2026-04-15T00:00:00"/>
    <n v="2026"/>
    <n v="3"/>
    <x v="1"/>
    <x v="3"/>
    <n v="45"/>
  </r>
  <r>
    <x v="19"/>
    <x v="0"/>
    <x v="0"/>
    <x v="1"/>
    <s v="Invoice"/>
    <d v="2026-04-01T00:00:00"/>
    <s v="XXXX"/>
    <n v="10000"/>
    <d v="2026-05-16T00:00:00"/>
    <n v="2026"/>
    <n v="4"/>
    <x v="1"/>
    <x v="6"/>
    <n v="45"/>
  </r>
  <r>
    <x v="19"/>
    <x v="0"/>
    <x v="0"/>
    <x v="1"/>
    <s v="Invoice"/>
    <d v="2026-05-01T00:00:00"/>
    <s v="XXXX"/>
    <n v="10000"/>
    <d v="2026-06-15T00:00:00"/>
    <n v="2026"/>
    <n v="5"/>
    <x v="1"/>
    <x v="4"/>
    <n v="45"/>
  </r>
  <r>
    <x v="19"/>
    <x v="0"/>
    <x v="0"/>
    <x v="1"/>
    <s v="Invoice"/>
    <d v="2026-06-01T00:00:00"/>
    <s v="XXXX"/>
    <n v="10000"/>
    <d v="2026-07-16T00:00:00"/>
    <n v="2026"/>
    <n v="6"/>
    <x v="1"/>
    <x v="7"/>
    <n v="45"/>
  </r>
  <r>
    <x v="19"/>
    <x v="0"/>
    <x v="0"/>
    <x v="1"/>
    <s v="Invoice"/>
    <d v="2026-07-01T00:00:00"/>
    <s v="XXXX"/>
    <n v="10000"/>
    <d v="2026-08-15T00:00:00"/>
    <n v="2026"/>
    <n v="7"/>
    <x v="1"/>
    <x v="8"/>
    <n v="45"/>
  </r>
  <r>
    <x v="19"/>
    <x v="0"/>
    <x v="0"/>
    <x v="1"/>
    <s v="Invoice"/>
    <d v="2026-08-01T00:00:00"/>
    <s v="XXXX"/>
    <n v="10000"/>
    <d v="2026-09-15T00:00:00"/>
    <n v="2026"/>
    <n v="8"/>
    <x v="1"/>
    <x v="9"/>
    <n v="45"/>
  </r>
  <r>
    <x v="19"/>
    <x v="0"/>
    <x v="0"/>
    <x v="1"/>
    <s v="Invoice"/>
    <d v="2026-09-01T00:00:00"/>
    <s v="XXXX"/>
    <n v="10000"/>
    <d v="2026-10-16T00:00:00"/>
    <n v="2026"/>
    <n v="9"/>
    <x v="1"/>
    <x v="10"/>
    <n v="45"/>
  </r>
  <r>
    <x v="19"/>
    <x v="0"/>
    <x v="0"/>
    <x v="1"/>
    <s v="Invoice"/>
    <d v="2026-10-01T00:00:00"/>
    <s v="XXXX"/>
    <n v="10000"/>
    <d v="2026-11-15T00:00:00"/>
    <n v="2026"/>
    <n v="10"/>
    <x v="1"/>
    <x v="11"/>
    <n v="45"/>
  </r>
  <r>
    <x v="19"/>
    <x v="0"/>
    <x v="0"/>
    <x v="1"/>
    <s v="Invoice"/>
    <d v="2026-11-01T00:00:00"/>
    <s v="XXXX"/>
    <n v="10000"/>
    <d v="2026-12-16T00:00:00"/>
    <n v="2026"/>
    <n v="11"/>
    <x v="1"/>
    <x v="5"/>
    <n v="45"/>
  </r>
  <r>
    <x v="19"/>
    <x v="0"/>
    <x v="0"/>
    <x v="1"/>
    <s v="Invoice"/>
    <d v="2026-12-01T00:00:00"/>
    <s v="XXXX"/>
    <n v="10000"/>
    <d v="2027-01-15T00:00:00"/>
    <n v="2026"/>
    <n v="12"/>
    <x v="2"/>
    <x v="0"/>
    <n v="45"/>
  </r>
  <r>
    <x v="20"/>
    <x v="0"/>
    <x v="0"/>
    <x v="0"/>
    <s v="Invoice"/>
    <d v="2025-08-22T00:00:00"/>
    <n v="6259"/>
    <n v="103535"/>
    <d v="2025-10-06T00:00:00"/>
    <n v="2025"/>
    <n v="8"/>
    <x v="0"/>
    <x v="10"/>
    <n v="45"/>
  </r>
  <r>
    <x v="20"/>
    <x v="0"/>
    <x v="0"/>
    <x v="0"/>
    <s v="Invoice"/>
    <d v="2025-08-22T00:00:00"/>
    <n v="6260"/>
    <n v="103535"/>
    <d v="2025-11-13T00:00:00"/>
    <n v="2025"/>
    <n v="8"/>
    <x v="0"/>
    <x v="11"/>
    <n v="83"/>
  </r>
  <r>
    <x v="20"/>
    <x v="0"/>
    <x v="0"/>
    <x v="0"/>
    <s v="Invoice"/>
    <d v="2025-11-30T00:00:00"/>
    <n v="6321"/>
    <n v="12975.75"/>
    <d v="2026-01-14T00:00:00"/>
    <n v="2025"/>
    <n v="11"/>
    <x v="1"/>
    <x v="0"/>
    <n v="45"/>
  </r>
  <r>
    <x v="20"/>
    <x v="0"/>
    <x v="0"/>
    <x v="0"/>
    <s v="Invoice"/>
    <d v="2025-12-31T00:00:00"/>
    <n v="6339"/>
    <n v="44443"/>
    <d v="2026-02-14T00:00:00"/>
    <n v="2025"/>
    <n v="12"/>
    <x v="1"/>
    <x v="2"/>
    <n v="45"/>
  </r>
  <r>
    <x v="20"/>
    <x v="0"/>
    <x v="0"/>
    <x v="1"/>
    <s v="Invoice"/>
    <d v="2026-01-31T00:00:00"/>
    <s v="XXXX"/>
    <n v="50000"/>
    <d v="2026-03-17T00:00:00"/>
    <n v="2026"/>
    <n v="1"/>
    <x v="1"/>
    <x v="1"/>
    <n v="45"/>
  </r>
  <r>
    <x v="20"/>
    <x v="0"/>
    <x v="0"/>
    <x v="1"/>
    <s v="Invoice"/>
    <d v="2026-02-28T00:00:00"/>
    <s v="XXXX"/>
    <n v="50000"/>
    <d v="2026-04-14T00:00:00"/>
    <n v="2026"/>
    <n v="2"/>
    <x v="1"/>
    <x v="3"/>
    <n v="45"/>
  </r>
  <r>
    <x v="20"/>
    <x v="0"/>
    <x v="0"/>
    <x v="1"/>
    <s v="Invoice"/>
    <d v="2026-03-31T00:00:00"/>
    <s v="XXXX"/>
    <n v="50000"/>
    <d v="2026-05-15T00:00:00"/>
    <n v="2026"/>
    <n v="3"/>
    <x v="1"/>
    <x v="6"/>
    <n v="45"/>
  </r>
  <r>
    <x v="20"/>
    <x v="0"/>
    <x v="0"/>
    <x v="1"/>
    <s v="Invoice"/>
    <d v="2026-04-30T00:00:00"/>
    <s v="XXXX"/>
    <n v="50000"/>
    <d v="2026-06-14T00:00:00"/>
    <n v="2026"/>
    <n v="4"/>
    <x v="1"/>
    <x v="4"/>
    <n v="45"/>
  </r>
  <r>
    <x v="20"/>
    <x v="0"/>
    <x v="0"/>
    <x v="1"/>
    <s v="Invoice"/>
    <d v="2026-05-31T00:00:00"/>
    <s v="XXXX"/>
    <n v="53188.25"/>
    <d v="2026-07-15T00:00:00"/>
    <n v="2026"/>
    <n v="5"/>
    <x v="1"/>
    <x v="7"/>
    <n v="45"/>
  </r>
  <r>
    <x v="21"/>
    <x v="0"/>
    <x v="0"/>
    <x v="0"/>
    <s v="Invoice"/>
    <d v="2025-08-22T00:00:00"/>
    <n v="6258"/>
    <n v="30000"/>
    <d v="2025-09-09T00:00:00"/>
    <n v="2025"/>
    <n v="8"/>
    <x v="0"/>
    <x v="9"/>
    <n v="18"/>
  </r>
  <r>
    <x v="21"/>
    <x v="0"/>
    <x v="0"/>
    <x v="0"/>
    <s v="Invoice"/>
    <d v="2025-09-30T00:00:00"/>
    <n v="6281"/>
    <n v="29000"/>
    <d v="2025-11-14T00:00:00"/>
    <n v="2025"/>
    <n v="9"/>
    <x v="0"/>
    <x v="11"/>
    <n v="45"/>
  </r>
  <r>
    <x v="21"/>
    <x v="0"/>
    <x v="0"/>
    <x v="1"/>
    <s v="Invoice"/>
    <d v="2026-04-01T00:00:00"/>
    <s v="XXXX"/>
    <n v="60000"/>
    <d v="2026-05-16T00:00:00"/>
    <n v="2026"/>
    <n v="4"/>
    <x v="1"/>
    <x v="6"/>
    <n v="45"/>
  </r>
  <r>
    <x v="21"/>
    <x v="0"/>
    <x v="0"/>
    <x v="1"/>
    <s v="Invoice"/>
    <d v="2027-04-01T00:00:00"/>
    <s v="XXXX"/>
    <n v="60000"/>
    <d v="2027-05-16T00:00:00"/>
    <n v="2027"/>
    <n v="4"/>
    <x v="2"/>
    <x v="6"/>
    <n v="45"/>
  </r>
  <r>
    <x v="21"/>
    <x v="0"/>
    <x v="0"/>
    <x v="1"/>
    <s v="Invoice"/>
    <d v="2028-04-01T00:00:00"/>
    <s v="XXXX"/>
    <n v="60000"/>
    <d v="2028-05-16T00:00:00"/>
    <n v="2028"/>
    <n v="4"/>
    <x v="3"/>
    <x v="6"/>
    <n v="45"/>
  </r>
  <r>
    <x v="22"/>
    <x v="0"/>
    <x v="2"/>
    <x v="0"/>
    <s v="Invoice"/>
    <d v="2025-01-01T00:00:00"/>
    <n v="6141"/>
    <n v="1500"/>
    <d v="2025-01-30T00:00:00"/>
    <n v="2025"/>
    <n v="1"/>
    <x v="0"/>
    <x v="0"/>
    <n v="29"/>
  </r>
  <r>
    <x v="22"/>
    <x v="0"/>
    <x v="2"/>
    <x v="0"/>
    <s v="Invoice"/>
    <d v="2025-02-01T00:00:00"/>
    <n v="6156"/>
    <n v="1500"/>
    <d v="2025-02-28T00:00:00"/>
    <n v="2025"/>
    <n v="2"/>
    <x v="0"/>
    <x v="2"/>
    <n v="27"/>
  </r>
  <r>
    <x v="22"/>
    <x v="0"/>
    <x v="2"/>
    <x v="0"/>
    <s v="Invoice"/>
    <d v="2025-03-01T00:00:00"/>
    <n v="6171"/>
    <n v="1500"/>
    <d v="2025-04-01T00:00:00"/>
    <n v="2025"/>
    <n v="3"/>
    <x v="0"/>
    <x v="3"/>
    <n v="31"/>
  </r>
  <r>
    <x v="22"/>
    <x v="0"/>
    <x v="2"/>
    <x v="0"/>
    <s v="Invoice"/>
    <d v="2025-04-01T00:00:00"/>
    <n v="6188"/>
    <n v="1500"/>
    <d v="2025-05-01T00:00:00"/>
    <n v="2025"/>
    <n v="4"/>
    <x v="0"/>
    <x v="6"/>
    <n v="30"/>
  </r>
  <r>
    <x v="22"/>
    <x v="0"/>
    <x v="2"/>
    <x v="0"/>
    <s v="Invoice"/>
    <d v="2025-05-01T00:00:00"/>
    <n v="6200"/>
    <n v="1500"/>
    <d v="2025-06-01T00:00:00"/>
    <n v="2025"/>
    <n v="5"/>
    <x v="0"/>
    <x v="4"/>
    <n v="31"/>
  </r>
  <r>
    <x v="22"/>
    <x v="0"/>
    <x v="2"/>
    <x v="0"/>
    <s v="Invoice"/>
    <d v="2025-06-01T00:00:00"/>
    <n v="6215"/>
    <n v="1500"/>
    <d v="2025-07-02T00:00:00"/>
    <n v="2025"/>
    <n v="6"/>
    <x v="0"/>
    <x v="7"/>
    <n v="31"/>
  </r>
  <r>
    <x v="22"/>
    <x v="0"/>
    <x v="2"/>
    <x v="0"/>
    <s v="Invoice"/>
    <d v="2025-07-01T00:00:00"/>
    <n v="6230"/>
    <n v="1500"/>
    <d v="2025-07-30T00:00:00"/>
    <n v="2025"/>
    <n v="7"/>
    <x v="0"/>
    <x v="7"/>
    <n v="29"/>
  </r>
  <r>
    <x v="22"/>
    <x v="0"/>
    <x v="2"/>
    <x v="0"/>
    <s v="Invoice"/>
    <d v="2025-09-01T00:00:00"/>
    <n v="6263"/>
    <n v="1500"/>
    <d v="2025-09-29T00:00:00"/>
    <n v="2025"/>
    <n v="9"/>
    <x v="0"/>
    <x v="9"/>
    <n v="28"/>
  </r>
  <r>
    <x v="22"/>
    <x v="0"/>
    <x v="2"/>
    <x v="0"/>
    <s v="Invoice"/>
    <d v="2025-10-01T00:00:00"/>
    <n v="6276"/>
    <n v="750"/>
    <d v="2025-10-29T00:00:00"/>
    <n v="2025"/>
    <n v="10"/>
    <x v="0"/>
    <x v="10"/>
    <n v="28"/>
  </r>
  <r>
    <x v="23"/>
    <x v="0"/>
    <x v="2"/>
    <x v="0"/>
    <s v="Invoice"/>
    <d v="2025-01-01T00:00:00"/>
    <n v="6142"/>
    <n v="8400"/>
    <d v="2025-01-31T00:00:00"/>
    <n v="2025"/>
    <n v="1"/>
    <x v="0"/>
    <x v="0"/>
    <n v="30"/>
  </r>
  <r>
    <x v="23"/>
    <x v="0"/>
    <x v="2"/>
    <x v="0"/>
    <s v="Invoice"/>
    <d v="2025-02-01T00:00:00"/>
    <n v="6157"/>
    <n v="8400"/>
    <d v="2025-02-28T00:00:00"/>
    <n v="2025"/>
    <n v="2"/>
    <x v="0"/>
    <x v="2"/>
    <n v="27"/>
  </r>
  <r>
    <x v="23"/>
    <x v="0"/>
    <x v="2"/>
    <x v="0"/>
    <s v="Invoice"/>
    <d v="2025-03-01T00:00:00"/>
    <n v="6172"/>
    <n v="5250"/>
    <d v="2025-03-28T00:00:00"/>
    <n v="2025"/>
    <n v="3"/>
    <x v="0"/>
    <x v="1"/>
    <n v="27"/>
  </r>
  <r>
    <x v="23"/>
    <x v="0"/>
    <x v="2"/>
    <x v="0"/>
    <s v="Invoice"/>
    <d v="2025-04-01T00:00:00"/>
    <n v="6189"/>
    <n v="5250"/>
    <d v="2025-05-02T00:00:00"/>
    <n v="2025"/>
    <n v="4"/>
    <x v="0"/>
    <x v="6"/>
    <n v="31"/>
  </r>
  <r>
    <x v="23"/>
    <x v="0"/>
    <x v="2"/>
    <x v="0"/>
    <s v="Invoice"/>
    <d v="2025-05-01T00:00:00"/>
    <n v="6201"/>
    <n v="5250"/>
    <d v="2025-05-30T00:00:00"/>
    <n v="2025"/>
    <n v="5"/>
    <x v="0"/>
    <x v="6"/>
    <n v="29"/>
  </r>
  <r>
    <x v="24"/>
    <x v="0"/>
    <x v="0"/>
    <x v="0"/>
    <s v="Invoice"/>
    <d v="2024-12-31T00:00:00"/>
    <n v="6150"/>
    <n v="33580"/>
    <d v="2025-01-31T00:00:00"/>
    <n v="2024"/>
    <n v="12"/>
    <x v="0"/>
    <x v="0"/>
    <n v="31"/>
  </r>
  <r>
    <x v="24"/>
    <x v="0"/>
    <x v="0"/>
    <x v="0"/>
    <s v="Invoice"/>
    <d v="2025-01-31T00:00:00"/>
    <n v="6164"/>
    <n v="30357.5"/>
    <d v="2025-03-10T00:00:00"/>
    <n v="2025"/>
    <n v="1"/>
    <x v="0"/>
    <x v="1"/>
    <n v="38"/>
  </r>
  <r>
    <x v="24"/>
    <x v="0"/>
    <x v="0"/>
    <x v="0"/>
    <s v="Invoice"/>
    <d v="2025-02-28T00:00:00"/>
    <n v="6178"/>
    <n v="38360"/>
    <d v="2025-04-01T00:00:00"/>
    <n v="2025"/>
    <n v="2"/>
    <x v="0"/>
    <x v="3"/>
    <n v="32"/>
  </r>
  <r>
    <x v="24"/>
    <x v="0"/>
    <x v="0"/>
    <x v="0"/>
    <s v="Invoice"/>
    <d v="2025-03-31T00:00:00"/>
    <n v="6195"/>
    <n v="63412"/>
    <d v="2025-05-01T00:00:00"/>
    <n v="2025"/>
    <n v="3"/>
    <x v="0"/>
    <x v="6"/>
    <n v="31"/>
  </r>
  <r>
    <x v="24"/>
    <x v="0"/>
    <x v="0"/>
    <x v="0"/>
    <s v="Invoice"/>
    <d v="2025-04-30T00:00:00"/>
    <n v="6209"/>
    <n v="77014"/>
    <d v="2025-05-30T00:00:00"/>
    <n v="2025"/>
    <n v="4"/>
    <x v="0"/>
    <x v="6"/>
    <n v="30"/>
  </r>
  <r>
    <x v="24"/>
    <x v="0"/>
    <x v="0"/>
    <x v="0"/>
    <s v="Invoice"/>
    <d v="2025-05-31T00:00:00"/>
    <n v="6222"/>
    <n v="68320"/>
    <d v="2025-07-01T00:00:00"/>
    <n v="2025"/>
    <n v="5"/>
    <x v="0"/>
    <x v="7"/>
    <n v="31"/>
  </r>
  <r>
    <x v="24"/>
    <x v="0"/>
    <x v="0"/>
    <x v="0"/>
    <s v="Invoice"/>
    <d v="2025-06-30T00:00:00"/>
    <n v="6239"/>
    <n v="57512"/>
    <d v="2025-08-01T00:00:00"/>
    <n v="2025"/>
    <n v="6"/>
    <x v="0"/>
    <x v="8"/>
    <n v="32"/>
  </r>
  <r>
    <x v="24"/>
    <x v="0"/>
    <x v="0"/>
    <x v="0"/>
    <s v="Invoice"/>
    <d v="2025-07-31T00:00:00"/>
    <n v="6252"/>
    <n v="63306.5"/>
    <d v="2025-11-05T00:00:00"/>
    <n v="2025"/>
    <n v="7"/>
    <x v="0"/>
    <x v="11"/>
    <n v="97"/>
  </r>
  <r>
    <x v="24"/>
    <x v="0"/>
    <x v="0"/>
    <x v="0"/>
    <s v="Invoice"/>
    <d v="2025-08-31T00:00:00"/>
    <n v="6270"/>
    <n v="59654.5"/>
    <d v="2025-10-02T00:00:00"/>
    <n v="2025"/>
    <n v="8"/>
    <x v="0"/>
    <x v="10"/>
    <n v="32"/>
  </r>
  <r>
    <x v="24"/>
    <x v="0"/>
    <x v="0"/>
    <x v="0"/>
    <s v="Invoice"/>
    <d v="2025-09-30T00:00:00"/>
    <n v="6283"/>
    <n v="54320"/>
    <d v="2025-12-31T00:00:00"/>
    <n v="2025"/>
    <n v="9"/>
    <x v="0"/>
    <x v="5"/>
    <n v="92"/>
  </r>
  <r>
    <x v="24"/>
    <x v="0"/>
    <x v="0"/>
    <x v="0"/>
    <s v="Invoice"/>
    <d v="2025-10-31T00:00:00"/>
    <n v="6305"/>
    <n v="64084"/>
    <d v="2025-12-19T00:00:00"/>
    <n v="2025"/>
    <n v="10"/>
    <x v="0"/>
    <x v="5"/>
    <n v="49"/>
  </r>
  <r>
    <x v="24"/>
    <x v="0"/>
    <x v="0"/>
    <x v="0"/>
    <s v="Invoice"/>
    <d v="2025-11-30T00:00:00"/>
    <n v="6320"/>
    <n v="42408"/>
    <d v="2026-01-01T00:00:00"/>
    <n v="2025"/>
    <n v="11"/>
    <x v="1"/>
    <x v="0"/>
    <n v="32"/>
  </r>
  <r>
    <x v="24"/>
    <x v="0"/>
    <x v="0"/>
    <x v="0"/>
    <s v="Invoice"/>
    <d v="2025-12-31T00:00:00"/>
    <n v="6338"/>
    <n v="34312"/>
    <d v="2026-02-01T00:00:00"/>
    <n v="2025"/>
    <n v="12"/>
    <x v="1"/>
    <x v="2"/>
    <n v="32"/>
  </r>
  <r>
    <x v="24"/>
    <x v="0"/>
    <x v="0"/>
    <x v="1"/>
    <s v="Invoice"/>
    <d v="2026-01-31T00:00:00"/>
    <s v="XXXX"/>
    <n v="60000"/>
    <d v="2026-03-04T00:00:00"/>
    <n v="2026"/>
    <n v="1"/>
    <x v="1"/>
    <x v="1"/>
    <n v="32"/>
  </r>
  <r>
    <x v="24"/>
    <x v="0"/>
    <x v="0"/>
    <x v="1"/>
    <s v="Invoice"/>
    <d v="2026-02-28T00:00:00"/>
    <s v="XXXX"/>
    <n v="60000"/>
    <d v="2026-04-01T00:00:00"/>
    <n v="2026"/>
    <n v="2"/>
    <x v="1"/>
    <x v="3"/>
    <n v="32"/>
  </r>
  <r>
    <x v="25"/>
    <x v="0"/>
    <x v="0"/>
    <x v="2"/>
    <s v="Invoice"/>
    <d v="2026-03-31T00:00:00"/>
    <s v="XXXX"/>
    <n v="60000"/>
    <d v="2026-05-02T00:00:00"/>
    <n v="2026"/>
    <n v="3"/>
    <x v="1"/>
    <x v="6"/>
    <n v="32"/>
  </r>
  <r>
    <x v="25"/>
    <x v="0"/>
    <x v="0"/>
    <x v="2"/>
    <s v="Invoice"/>
    <d v="2026-04-30T00:00:00"/>
    <s v="XXXX"/>
    <n v="60000"/>
    <d v="2026-06-01T00:00:00"/>
    <n v="2026"/>
    <n v="4"/>
    <x v="1"/>
    <x v="4"/>
    <n v="32"/>
  </r>
  <r>
    <x v="25"/>
    <x v="0"/>
    <x v="0"/>
    <x v="2"/>
    <s v="Invoice"/>
    <d v="2026-05-31T00:00:00"/>
    <s v="XXXX"/>
    <n v="60000"/>
    <d v="2026-07-02T00:00:00"/>
    <n v="2026"/>
    <n v="5"/>
    <x v="1"/>
    <x v="7"/>
    <n v="32"/>
  </r>
  <r>
    <x v="25"/>
    <x v="0"/>
    <x v="0"/>
    <x v="2"/>
    <s v="Invoice"/>
    <d v="2026-06-30T00:00:00"/>
    <s v="XXXX"/>
    <n v="60000"/>
    <d v="2026-08-01T00:00:00"/>
    <n v="2026"/>
    <n v="6"/>
    <x v="1"/>
    <x v="8"/>
    <n v="32"/>
  </r>
  <r>
    <x v="25"/>
    <x v="0"/>
    <x v="0"/>
    <x v="2"/>
    <s v="Invoice"/>
    <d v="2026-07-31T00:00:00"/>
    <s v="XXXX"/>
    <n v="60000"/>
    <d v="2026-09-01T00:00:00"/>
    <n v="2026"/>
    <n v="7"/>
    <x v="1"/>
    <x v="9"/>
    <n v="32"/>
  </r>
  <r>
    <x v="25"/>
    <x v="0"/>
    <x v="0"/>
    <x v="2"/>
    <s v="Invoice"/>
    <d v="2026-08-31T00:00:00"/>
    <s v="XXXX"/>
    <n v="60000"/>
    <d v="2026-10-02T00:00:00"/>
    <n v="2026"/>
    <n v="8"/>
    <x v="1"/>
    <x v="10"/>
    <n v="32"/>
  </r>
  <r>
    <x v="25"/>
    <x v="0"/>
    <x v="0"/>
    <x v="2"/>
    <s v="Invoice"/>
    <d v="2026-09-30T00:00:00"/>
    <s v="XXXX"/>
    <n v="60000"/>
    <d v="2026-11-01T00:00:00"/>
    <n v="2026"/>
    <n v="9"/>
    <x v="1"/>
    <x v="11"/>
    <n v="32"/>
  </r>
  <r>
    <x v="25"/>
    <x v="0"/>
    <x v="0"/>
    <x v="2"/>
    <s v="Invoice"/>
    <d v="2026-10-31T00:00:00"/>
    <s v="XXXX"/>
    <n v="60000"/>
    <d v="2026-12-02T00:00:00"/>
    <n v="2026"/>
    <n v="10"/>
    <x v="1"/>
    <x v="5"/>
    <n v="32"/>
  </r>
  <r>
    <x v="25"/>
    <x v="0"/>
    <x v="0"/>
    <x v="2"/>
    <s v="Invoice"/>
    <d v="2026-11-30T00:00:00"/>
    <s v="XXXX"/>
    <n v="60000"/>
    <d v="2027-01-01T00:00:00"/>
    <n v="2026"/>
    <n v="11"/>
    <x v="2"/>
    <x v="0"/>
    <n v="32"/>
  </r>
  <r>
    <x v="25"/>
    <x v="0"/>
    <x v="0"/>
    <x v="2"/>
    <s v="Invoice"/>
    <d v="2026-12-31T00:00:00"/>
    <s v="XXXX"/>
    <n v="60000"/>
    <d v="2027-02-01T00:00:00"/>
    <n v="2026"/>
    <n v="12"/>
    <x v="2"/>
    <x v="2"/>
    <n v="32"/>
  </r>
  <r>
    <x v="25"/>
    <x v="0"/>
    <x v="0"/>
    <x v="2"/>
    <s v="Invoice"/>
    <d v="2027-01-31T00:00:00"/>
    <s v="XXXX"/>
    <n v="60000"/>
    <d v="2027-03-04T00:00:00"/>
    <n v="2027"/>
    <n v="1"/>
    <x v="2"/>
    <x v="1"/>
    <n v="32"/>
  </r>
  <r>
    <x v="25"/>
    <x v="0"/>
    <x v="0"/>
    <x v="2"/>
    <s v="Invoice"/>
    <d v="2027-02-28T00:00:00"/>
    <s v="XXXX"/>
    <n v="60000"/>
    <d v="2027-04-01T00:00:00"/>
    <n v="2027"/>
    <n v="2"/>
    <x v="2"/>
    <x v="3"/>
    <n v="32"/>
  </r>
  <r>
    <x v="26"/>
    <x v="0"/>
    <x v="0"/>
    <x v="0"/>
    <s v="Invoice"/>
    <d v="2025-01-01T00:00:00"/>
    <n v="6144"/>
    <n v="14500"/>
    <d v="2025-01-24T00:00:00"/>
    <n v="2025"/>
    <n v="1"/>
    <x v="0"/>
    <x v="0"/>
    <n v="23"/>
  </r>
  <r>
    <x v="26"/>
    <x v="0"/>
    <x v="0"/>
    <x v="0"/>
    <s v="Invoice"/>
    <d v="2025-02-01T00:00:00"/>
    <n v="6159"/>
    <n v="14500"/>
    <d v="2025-02-26T00:00:00"/>
    <n v="2025"/>
    <n v="2"/>
    <x v="0"/>
    <x v="2"/>
    <n v="25"/>
  </r>
  <r>
    <x v="26"/>
    <x v="0"/>
    <x v="0"/>
    <x v="0"/>
    <s v="Invoice"/>
    <d v="2025-03-01T00:00:00"/>
    <n v="6173"/>
    <n v="14500"/>
    <d v="2025-03-26T00:00:00"/>
    <n v="2025"/>
    <n v="3"/>
    <x v="0"/>
    <x v="1"/>
    <n v="25"/>
  </r>
  <r>
    <x v="26"/>
    <x v="0"/>
    <x v="0"/>
    <x v="0"/>
    <s v="Invoice"/>
    <d v="2025-04-01T00:00:00"/>
    <n v="6191"/>
    <n v="14500"/>
    <d v="2025-04-29T00:00:00"/>
    <n v="2025"/>
    <n v="4"/>
    <x v="0"/>
    <x v="3"/>
    <n v="28"/>
  </r>
  <r>
    <x v="26"/>
    <x v="0"/>
    <x v="0"/>
    <x v="0"/>
    <s v="Invoice"/>
    <d v="2025-05-01T00:00:00"/>
    <n v="6203"/>
    <n v="14500"/>
    <d v="2025-06-01T00:00:00"/>
    <n v="2025"/>
    <n v="5"/>
    <x v="0"/>
    <x v="4"/>
    <n v="31"/>
  </r>
  <r>
    <x v="26"/>
    <x v="0"/>
    <x v="0"/>
    <x v="0"/>
    <s v="Invoice"/>
    <d v="2025-06-01T00:00:00"/>
    <n v="6217"/>
    <n v="14500"/>
    <d v="2025-07-01T00:00:00"/>
    <n v="2025"/>
    <n v="6"/>
    <x v="0"/>
    <x v="7"/>
    <n v="30"/>
  </r>
  <r>
    <x v="26"/>
    <x v="0"/>
    <x v="0"/>
    <x v="0"/>
    <s v="Invoice"/>
    <d v="2025-07-01T00:00:00"/>
    <n v="6232"/>
    <n v="14500"/>
    <d v="2025-07-29T00:00:00"/>
    <n v="2025"/>
    <n v="7"/>
    <x v="0"/>
    <x v="7"/>
    <n v="28"/>
  </r>
  <r>
    <x v="27"/>
    <x v="1"/>
    <x v="0"/>
    <x v="0"/>
    <s v="Invoice"/>
    <d v="2025-08-01T00:00:00"/>
    <n v="6248"/>
    <n v="14500"/>
    <d v="2025-08-28T00:00:00"/>
    <n v="2025"/>
    <n v="8"/>
    <x v="0"/>
    <x v="8"/>
    <n v="27"/>
  </r>
  <r>
    <x v="27"/>
    <x v="1"/>
    <x v="0"/>
    <x v="0"/>
    <s v="Invoice"/>
    <d v="2025-09-01T00:00:00"/>
    <n v="6266"/>
    <n v="14500"/>
    <d v="2025-10-01T00:00:00"/>
    <n v="2025"/>
    <n v="9"/>
    <x v="0"/>
    <x v="10"/>
    <n v="30"/>
  </r>
  <r>
    <x v="27"/>
    <x v="1"/>
    <x v="0"/>
    <x v="0"/>
    <s v="Invoice"/>
    <d v="2025-10-01T00:00:00"/>
    <n v="6279"/>
    <n v="14500"/>
    <d v="2025-11-04T00:00:00"/>
    <n v="2025"/>
    <n v="10"/>
    <x v="0"/>
    <x v="11"/>
    <n v="34"/>
  </r>
  <r>
    <x v="27"/>
    <x v="1"/>
    <x v="0"/>
    <x v="0"/>
    <s v="Invoice"/>
    <d v="2025-11-01T00:00:00"/>
    <n v="6296"/>
    <n v="14500"/>
    <d v="2025-11-14T00:00:00"/>
    <n v="2025"/>
    <n v="11"/>
    <x v="0"/>
    <x v="11"/>
    <n v="13"/>
  </r>
  <r>
    <x v="27"/>
    <x v="1"/>
    <x v="0"/>
    <x v="0"/>
    <s v="Invoice"/>
    <d v="2025-12-01T00:00:00"/>
    <n v="6314"/>
    <n v="14500"/>
    <d v="2025-12-16T00:00:00"/>
    <n v="2025"/>
    <n v="12"/>
    <x v="0"/>
    <x v="5"/>
    <n v="15"/>
  </r>
  <r>
    <x v="27"/>
    <x v="1"/>
    <x v="0"/>
    <x v="0"/>
    <s v="Invoice"/>
    <d v="2026-01-01T00:00:00"/>
    <n v="6334"/>
    <n v="14500"/>
    <d v="2026-02-02T00:00:00"/>
    <n v="2026"/>
    <n v="1"/>
    <x v="1"/>
    <x v="2"/>
    <n v="32"/>
  </r>
  <r>
    <x v="27"/>
    <x v="1"/>
    <x v="0"/>
    <x v="1"/>
    <s v="Invoice"/>
    <d v="2026-02-01T00:00:00"/>
    <s v="XXXX"/>
    <n v="14500"/>
    <d v="2026-03-05T00:00:00"/>
    <n v="2026"/>
    <n v="2"/>
    <x v="1"/>
    <x v="1"/>
    <n v="32"/>
  </r>
  <r>
    <x v="27"/>
    <x v="1"/>
    <x v="0"/>
    <x v="1"/>
    <s v="Invoice"/>
    <d v="2026-03-01T00:00:00"/>
    <s v="XXXX"/>
    <n v="14500"/>
    <d v="2026-04-02T00:00:00"/>
    <n v="2026"/>
    <n v="3"/>
    <x v="1"/>
    <x v="3"/>
    <n v="32"/>
  </r>
  <r>
    <x v="27"/>
    <x v="1"/>
    <x v="0"/>
    <x v="1"/>
    <s v="Invoice"/>
    <d v="2026-04-01T00:00:00"/>
    <s v="XXXX"/>
    <n v="14500"/>
    <d v="2026-05-03T00:00:00"/>
    <n v="2026"/>
    <n v="4"/>
    <x v="1"/>
    <x v="6"/>
    <n v="32"/>
  </r>
  <r>
    <x v="27"/>
    <x v="1"/>
    <x v="0"/>
    <x v="1"/>
    <s v="Invoice"/>
    <d v="2026-05-01T00:00:00"/>
    <s v="XXXX"/>
    <n v="14500"/>
    <d v="2026-06-02T00:00:00"/>
    <n v="2026"/>
    <n v="5"/>
    <x v="1"/>
    <x v="4"/>
    <n v="32"/>
  </r>
  <r>
    <x v="27"/>
    <x v="1"/>
    <x v="0"/>
    <x v="1"/>
    <s v="Invoice"/>
    <d v="2026-06-01T00:00:00"/>
    <s v="XXXX"/>
    <n v="14500"/>
    <d v="2026-07-03T00:00:00"/>
    <n v="2026"/>
    <n v="6"/>
    <x v="1"/>
    <x v="7"/>
    <n v="32"/>
  </r>
  <r>
    <x v="27"/>
    <x v="1"/>
    <x v="0"/>
    <x v="1"/>
    <s v="Invoice"/>
    <d v="2026-07-01T00:00:00"/>
    <s v="XXXX"/>
    <n v="14500"/>
    <d v="2026-08-02T00:00:00"/>
    <n v="2026"/>
    <n v="7"/>
    <x v="1"/>
    <x v="8"/>
    <n v="32"/>
  </r>
  <r>
    <x v="28"/>
    <x v="1"/>
    <x v="2"/>
    <x v="0"/>
    <s v="Invoice"/>
    <d v="2025-10-08T00:00:00"/>
    <n v="6290"/>
    <n v="100000"/>
    <d v="2025-11-21T00:00:00"/>
    <n v="2025"/>
    <n v="10"/>
    <x v="0"/>
    <x v="11"/>
    <n v="44"/>
  </r>
  <r>
    <x v="28"/>
    <x v="1"/>
    <x v="2"/>
    <x v="0"/>
    <s v="Invoice"/>
    <d v="2025-11-07T00:00:00"/>
    <n v="6323"/>
    <n v="25000"/>
    <d v="2026-01-06T00:00:00"/>
    <n v="2025"/>
    <n v="11"/>
    <x v="1"/>
    <x v="0"/>
    <n v="60"/>
  </r>
  <r>
    <x v="28"/>
    <x v="1"/>
    <x v="2"/>
    <x v="0"/>
    <s v="Invoice"/>
    <d v="2026-12-07T00:00:00"/>
    <n v="6324"/>
    <n v="25000"/>
    <d v="2027-01-06T00:00:00"/>
    <n v="2026"/>
    <n v="12"/>
    <x v="2"/>
    <x v="0"/>
    <n v="30"/>
  </r>
  <r>
    <x v="28"/>
    <x v="1"/>
    <x v="2"/>
    <x v="1"/>
    <s v="Invoice"/>
    <d v="2026-02-28T00:00:00"/>
    <s v="XXXX"/>
    <n v="25000"/>
    <d v="2026-04-29T00:00:00"/>
    <n v="2026"/>
    <n v="2"/>
    <x v="1"/>
    <x v="3"/>
    <n v="60"/>
  </r>
  <r>
    <x v="29"/>
    <x v="1"/>
    <x v="2"/>
    <x v="1"/>
    <s v="Invoice"/>
    <d v="2026-03-31T00:00:00"/>
    <s v="XXXX"/>
    <n v="25000"/>
    <d v="2026-05-30T00:00:00"/>
    <n v="2026"/>
    <n v="3"/>
    <x v="1"/>
    <x v="6"/>
    <n v="60"/>
  </r>
  <r>
    <x v="29"/>
    <x v="1"/>
    <x v="2"/>
    <x v="1"/>
    <s v="Invoice"/>
    <d v="2026-04-30T00:00:00"/>
    <s v="XXXX"/>
    <n v="25000"/>
    <d v="2026-06-29T00:00:00"/>
    <n v="2026"/>
    <n v="4"/>
    <x v="1"/>
    <x v="4"/>
    <n v="60"/>
  </r>
  <r>
    <x v="29"/>
    <x v="1"/>
    <x v="2"/>
    <x v="1"/>
    <s v="Invoice"/>
    <d v="2026-05-31T00:00:00"/>
    <s v="XXXX"/>
    <n v="25000"/>
    <d v="2026-07-30T00:00:00"/>
    <n v="2026"/>
    <n v="5"/>
    <x v="1"/>
    <x v="7"/>
    <n v="60"/>
  </r>
  <r>
    <x v="30"/>
    <x v="1"/>
    <x v="2"/>
    <x v="1"/>
    <s v="Invoice"/>
    <d v="2026-06-30T00:00:00"/>
    <s v="XXXX"/>
    <n v="100000"/>
    <d v="2026-08-29T00:00:00"/>
    <n v="2026"/>
    <n v="6"/>
    <x v="1"/>
    <x v="8"/>
    <n v="60"/>
  </r>
  <r>
    <x v="30"/>
    <x v="1"/>
    <x v="2"/>
    <x v="1"/>
    <s v="Invoice"/>
    <d v="2026-07-31T00:00:00"/>
    <s v="XXXX"/>
    <n v="25000"/>
    <d v="2026-09-29T00:00:00"/>
    <n v="2026"/>
    <n v="7"/>
    <x v="1"/>
    <x v="9"/>
    <n v="60"/>
  </r>
  <r>
    <x v="30"/>
    <x v="1"/>
    <x v="2"/>
    <x v="1"/>
    <s v="Invoice"/>
    <d v="2026-08-31T00:00:00"/>
    <s v="XXXX"/>
    <n v="25000"/>
    <d v="2026-10-30T00:00:00"/>
    <n v="2026"/>
    <n v="8"/>
    <x v="1"/>
    <x v="10"/>
    <n v="60"/>
  </r>
  <r>
    <x v="30"/>
    <x v="1"/>
    <x v="2"/>
    <x v="1"/>
    <s v="Invoice"/>
    <d v="2026-09-30T00:00:00"/>
    <s v="XXXX"/>
    <n v="25000"/>
    <d v="2026-11-29T00:00:00"/>
    <n v="2026"/>
    <n v="9"/>
    <x v="1"/>
    <x v="11"/>
    <n v="60"/>
  </r>
  <r>
    <x v="31"/>
    <x v="1"/>
    <x v="2"/>
    <x v="1"/>
    <s v="Invoice"/>
    <d v="2026-10-31T00:00:00"/>
    <s v="XXXX"/>
    <n v="25000"/>
    <d v="2026-12-30T00:00:00"/>
    <n v="2026"/>
    <n v="10"/>
    <x v="1"/>
    <x v="5"/>
    <n v="60"/>
  </r>
  <r>
    <x v="31"/>
    <x v="1"/>
    <x v="2"/>
    <x v="1"/>
    <s v="Invoice"/>
    <d v="2026-11-30T00:00:00"/>
    <s v="XXXX"/>
    <n v="25000"/>
    <d v="2027-01-29T00:00:00"/>
    <n v="2026"/>
    <n v="11"/>
    <x v="2"/>
    <x v="0"/>
    <n v="60"/>
  </r>
  <r>
    <x v="31"/>
    <x v="1"/>
    <x v="2"/>
    <x v="1"/>
    <s v="Invoice"/>
    <d v="2026-12-31T00:00:00"/>
    <s v="XXXX"/>
    <n v="24059"/>
    <d v="2027-03-01T00:00:00"/>
    <n v="2026"/>
    <n v="12"/>
    <x v="2"/>
    <x v="1"/>
    <n v="60"/>
  </r>
  <r>
    <x v="32"/>
    <x v="1"/>
    <x v="2"/>
    <x v="1"/>
    <s v="Invoice"/>
    <d v="2026-03-01T00:00:00"/>
    <s v="XXXX"/>
    <n v="60000"/>
    <d v="2026-04-30T00:00:00"/>
    <n v="2026"/>
    <n v="3"/>
    <x v="1"/>
    <x v="3"/>
    <n v="60"/>
  </r>
  <r>
    <x v="32"/>
    <x v="1"/>
    <x v="2"/>
    <x v="1"/>
    <s v="Invoice"/>
    <d v="2027-03-01T00:00:00"/>
    <s v="XXXX"/>
    <n v="60000"/>
    <d v="2027-04-30T00:00:00"/>
    <n v="2027"/>
    <n v="3"/>
    <x v="2"/>
    <x v="3"/>
    <n v="60"/>
  </r>
  <r>
    <x v="32"/>
    <x v="1"/>
    <x v="2"/>
    <x v="1"/>
    <s v="Invoice"/>
    <d v="2028-03-01T00:00:00"/>
    <s v="XXXX"/>
    <n v="60000"/>
    <d v="2028-04-30T00:00:00"/>
    <n v="2028"/>
    <n v="3"/>
    <x v="3"/>
    <x v="3"/>
    <n v="60"/>
  </r>
  <r>
    <x v="33"/>
    <x v="1"/>
    <x v="1"/>
    <x v="0"/>
    <s v="Invoice"/>
    <d v="2025-09-11T00:00:00"/>
    <n v="6274"/>
    <n v="12000"/>
    <d v="2025-11-03T00:00:00"/>
    <n v="2025"/>
    <n v="9"/>
    <x v="0"/>
    <x v="11"/>
    <n v="53"/>
  </r>
  <r>
    <x v="33"/>
    <x v="1"/>
    <x v="1"/>
    <x v="0"/>
    <s v="Invoice"/>
    <d v="2025-10-31T00:00:00"/>
    <n v="6302"/>
    <n v="13000"/>
    <d v="2025-12-16T00:00:00"/>
    <n v="2025"/>
    <n v="10"/>
    <x v="0"/>
    <x v="5"/>
    <n v="46"/>
  </r>
  <r>
    <x v="34"/>
    <x v="0"/>
    <x v="2"/>
    <x v="0"/>
    <s v="Invoice"/>
    <d v="2024-12-01T00:00:00"/>
    <n v="6126"/>
    <n v="5250"/>
    <d v="2025-01-15T00:00:00"/>
    <n v="2024"/>
    <n v="12"/>
    <x v="0"/>
    <x v="0"/>
    <n v="45"/>
  </r>
  <r>
    <x v="34"/>
    <x v="0"/>
    <x v="2"/>
    <x v="0"/>
    <s v="Invoice"/>
    <d v="2025-01-01T00:00:00"/>
    <n v="6145"/>
    <n v="4200"/>
    <d v="2025-02-12T00:00:00"/>
    <n v="2025"/>
    <n v="1"/>
    <x v="0"/>
    <x v="2"/>
    <n v="42"/>
  </r>
  <r>
    <x v="34"/>
    <x v="0"/>
    <x v="2"/>
    <x v="0"/>
    <s v="Invoice"/>
    <d v="2025-02-01T00:00:00"/>
    <n v="6160"/>
    <n v="4200"/>
    <d v="2025-03-10T00:00:00"/>
    <n v="2025"/>
    <n v="2"/>
    <x v="0"/>
    <x v="1"/>
    <n v="37"/>
  </r>
  <r>
    <x v="34"/>
    <x v="0"/>
    <x v="2"/>
    <x v="0"/>
    <s v="Invoice"/>
    <d v="2025-03-01T00:00:00"/>
    <n v="6174"/>
    <n v="4200"/>
    <d v="2025-03-31T00:00:00"/>
    <n v="2025"/>
    <n v="3"/>
    <x v="0"/>
    <x v="1"/>
    <n v="30"/>
  </r>
  <r>
    <x v="34"/>
    <x v="0"/>
    <x v="2"/>
    <x v="0"/>
    <s v="Invoice"/>
    <d v="2025-04-01T00:00:00"/>
    <n v="6192"/>
    <n v="4200"/>
    <d v="2025-04-30T00:00:00"/>
    <n v="2025"/>
    <n v="4"/>
    <x v="0"/>
    <x v="3"/>
    <n v="29"/>
  </r>
  <r>
    <x v="34"/>
    <x v="0"/>
    <x v="2"/>
    <x v="0"/>
    <s v="Invoice"/>
    <d v="2025-05-01T00:00:00"/>
    <n v="6204"/>
    <n v="4200"/>
    <d v="2025-05-23T00:00:00"/>
    <n v="2025"/>
    <n v="5"/>
    <x v="0"/>
    <x v="6"/>
    <n v="22"/>
  </r>
  <r>
    <x v="34"/>
    <x v="0"/>
    <x v="2"/>
    <x v="0"/>
    <s v="Invoice"/>
    <d v="2025-06-01T00:00:00"/>
    <n v="6218"/>
    <n v="4200"/>
    <d v="2025-07-02T00:00:00"/>
    <n v="2025"/>
    <n v="6"/>
    <x v="0"/>
    <x v="7"/>
    <n v="31"/>
  </r>
  <r>
    <x v="35"/>
    <x v="0"/>
    <x v="2"/>
    <x v="0"/>
    <s v="Invoice"/>
    <d v="2025-06-30T00:00:00"/>
    <n v="6238"/>
    <n v="1762.5"/>
    <d v="2025-08-04T00:00:00"/>
    <n v="2025"/>
    <n v="6"/>
    <x v="0"/>
    <x v="8"/>
    <n v="35"/>
  </r>
  <r>
    <x v="34"/>
    <x v="0"/>
    <x v="2"/>
    <x v="0"/>
    <s v="Invoice"/>
    <d v="2025-07-01T00:00:00"/>
    <n v="6233"/>
    <n v="1500"/>
    <d v="2025-08-04T00:00:00"/>
    <n v="2025"/>
    <n v="7"/>
    <x v="0"/>
    <x v="8"/>
    <n v="34"/>
  </r>
  <r>
    <x v="35"/>
    <x v="0"/>
    <x v="2"/>
    <x v="0"/>
    <s v="Invoice"/>
    <d v="2025-07-31T00:00:00"/>
    <n v="6249"/>
    <n v="3937.5"/>
    <d v="2025-09-15T00:00:00"/>
    <n v="2025"/>
    <n v="7"/>
    <x v="0"/>
    <x v="9"/>
    <n v="46"/>
  </r>
  <r>
    <x v="36"/>
    <x v="0"/>
    <x v="0"/>
    <x v="0"/>
    <s v="Invoice"/>
    <d v="2024-11-15T00:00:00"/>
    <n v="6133"/>
    <n v="13640"/>
    <d v="2025-01-03T00:00:00"/>
    <n v="2024"/>
    <n v="11"/>
    <x v="0"/>
    <x v="0"/>
    <n v="49"/>
  </r>
  <r>
    <x v="36"/>
    <x v="0"/>
    <x v="0"/>
    <x v="0"/>
    <s v="Invoice"/>
    <d v="2024-11-30T00:00:00"/>
    <n v="6134"/>
    <n v="15190"/>
    <d v="2025-01-10T00:00:00"/>
    <n v="2024"/>
    <n v="11"/>
    <x v="0"/>
    <x v="0"/>
    <n v="41"/>
  </r>
  <r>
    <x v="36"/>
    <x v="0"/>
    <x v="0"/>
    <x v="0"/>
    <s v="Invoice"/>
    <d v="2024-12-31T00:00:00"/>
    <n v="6152"/>
    <n v="13640"/>
    <d v="2025-02-07T00:00:00"/>
    <n v="2024"/>
    <n v="12"/>
    <x v="0"/>
    <x v="2"/>
    <n v="38"/>
  </r>
  <r>
    <x v="36"/>
    <x v="0"/>
    <x v="0"/>
    <x v="0"/>
    <s v="Invoice"/>
    <d v="2025-01-31T00:00:00"/>
    <n v="6166"/>
    <n v="8680"/>
    <d v="2025-02-21T00:00:00"/>
    <n v="2025"/>
    <n v="1"/>
    <x v="0"/>
    <x v="2"/>
    <n v="21"/>
  </r>
  <r>
    <x v="36"/>
    <x v="0"/>
    <x v="0"/>
    <x v="0"/>
    <s v="Invoice"/>
    <d v="2025-01-31T00:00:00"/>
    <n v="6166"/>
    <n v="12400"/>
    <d v="2025-03-14T00:00:00"/>
    <n v="2025"/>
    <n v="1"/>
    <x v="0"/>
    <x v="1"/>
    <n v="42"/>
  </r>
  <r>
    <x v="36"/>
    <x v="0"/>
    <x v="0"/>
    <x v="0"/>
    <s v="Invoice"/>
    <d v="2025-02-28T00:00:00"/>
    <n v="6180"/>
    <n v="12400"/>
    <d v="2025-03-28T00:00:00"/>
    <n v="2025"/>
    <n v="2"/>
    <x v="0"/>
    <x v="1"/>
    <n v="28"/>
  </r>
  <r>
    <x v="36"/>
    <x v="0"/>
    <x v="0"/>
    <x v="0"/>
    <s v="Invoice"/>
    <d v="2025-02-28T00:00:00"/>
    <n v="6180"/>
    <n v="13640"/>
    <d v="2025-04-11T00:00:00"/>
    <n v="2025"/>
    <n v="2"/>
    <x v="0"/>
    <x v="3"/>
    <n v="42"/>
  </r>
  <r>
    <x v="36"/>
    <x v="0"/>
    <x v="0"/>
    <x v="0"/>
    <s v="Invoice"/>
    <d v="2025-03-31T00:00:00"/>
    <n v="6197"/>
    <n v="6200"/>
    <d v="2025-04-25T00:00:00"/>
    <n v="2025"/>
    <n v="3"/>
    <x v="0"/>
    <x v="3"/>
    <n v="25"/>
  </r>
  <r>
    <x v="37"/>
    <x v="0"/>
    <x v="1"/>
    <x v="0"/>
    <s v="Invoice"/>
    <d v="2025-01-01T00:00:00"/>
    <n v="6146"/>
    <n v="22182.36"/>
    <d v="2025-01-14T00:00:00"/>
    <n v="2025"/>
    <n v="1"/>
    <x v="0"/>
    <x v="0"/>
    <n v="13"/>
  </r>
  <r>
    <x v="38"/>
    <x v="0"/>
    <x v="0"/>
    <x v="0"/>
    <s v="Invoice"/>
    <d v="2025-01-01T00:00:00"/>
    <n v="6143"/>
    <n v="24777.599999999999"/>
    <d v="2025-01-24T00:00:00"/>
    <n v="2025"/>
    <n v="1"/>
    <x v="0"/>
    <x v="0"/>
    <n v="23"/>
  </r>
  <r>
    <x v="38"/>
    <x v="0"/>
    <x v="0"/>
    <x v="0"/>
    <s v="Invoice"/>
    <d v="2025-02-01T00:00:00"/>
    <n v="6158"/>
    <n v="24777.599999999999"/>
    <d v="2025-02-28T00:00:00"/>
    <n v="2025"/>
    <n v="2"/>
    <x v="0"/>
    <x v="2"/>
    <n v="27"/>
  </r>
  <r>
    <x v="38"/>
    <x v="0"/>
    <x v="0"/>
    <x v="0"/>
    <s v="Invoice"/>
    <d v="2025-03-01T00:00:00"/>
    <n v="6186"/>
    <n v="24777.599999999999"/>
    <d v="2025-04-04T00:00:00"/>
    <n v="2025"/>
    <n v="3"/>
    <x v="0"/>
    <x v="3"/>
    <n v="34"/>
  </r>
  <r>
    <x v="38"/>
    <x v="0"/>
    <x v="0"/>
    <x v="0"/>
    <s v="Invoice"/>
    <d v="2025-04-01T00:00:00"/>
    <n v="6190"/>
    <n v="24777.599999999999"/>
    <d v="2025-04-25T00:00:00"/>
    <n v="2025"/>
    <n v="4"/>
    <x v="0"/>
    <x v="3"/>
    <n v="24"/>
  </r>
  <r>
    <x v="38"/>
    <x v="0"/>
    <x v="0"/>
    <x v="0"/>
    <s v="Invoice"/>
    <d v="2025-05-01T00:00:00"/>
    <n v="6202"/>
    <n v="24777.599999999999"/>
    <d v="2025-05-23T00:00:00"/>
    <n v="2025"/>
    <n v="5"/>
    <x v="0"/>
    <x v="6"/>
    <n v="22"/>
  </r>
  <r>
    <x v="38"/>
    <x v="0"/>
    <x v="0"/>
    <x v="0"/>
    <s v="Invoice"/>
    <d v="2025-06-01T00:00:00"/>
    <n v="6216"/>
    <n v="24777.599999999999"/>
    <d v="2025-06-27T00:00:00"/>
    <n v="2025"/>
    <n v="6"/>
    <x v="0"/>
    <x v="4"/>
    <n v="26"/>
  </r>
  <r>
    <x v="38"/>
    <x v="0"/>
    <x v="0"/>
    <x v="0"/>
    <s v="Invoice"/>
    <d v="2025-07-01T00:00:00"/>
    <n v="6231"/>
    <n v="24777.599999999999"/>
    <d v="2025-07-25T00:00:00"/>
    <n v="2025"/>
    <n v="7"/>
    <x v="0"/>
    <x v="7"/>
    <n v="24"/>
  </r>
  <r>
    <x v="39"/>
    <x v="1"/>
    <x v="0"/>
    <x v="0"/>
    <s v="Invoice"/>
    <d v="2025-08-01T00:00:00"/>
    <n v="6247"/>
    <n v="24777.599999999999"/>
    <d v="2025-08-22T00:00:00"/>
    <n v="2025"/>
    <n v="8"/>
    <x v="0"/>
    <x v="8"/>
    <n v="21"/>
  </r>
  <r>
    <x v="39"/>
    <x v="1"/>
    <x v="0"/>
    <x v="0"/>
    <s v="Invoice"/>
    <d v="2025-09-01T00:00:00"/>
    <n v="6265"/>
    <n v="24777.599999999999"/>
    <d v="2025-10-03T00:00:00"/>
    <n v="2025"/>
    <n v="9"/>
    <x v="0"/>
    <x v="10"/>
    <n v="32"/>
  </r>
  <r>
    <x v="39"/>
    <x v="1"/>
    <x v="0"/>
    <x v="0"/>
    <s v="Invoice"/>
    <d v="2025-10-01T00:00:00"/>
    <n v="6278"/>
    <n v="24777.599999999999"/>
    <d v="2025-10-24T00:00:00"/>
    <n v="2025"/>
    <n v="10"/>
    <x v="0"/>
    <x v="10"/>
    <n v="23"/>
  </r>
  <r>
    <x v="39"/>
    <x v="1"/>
    <x v="0"/>
    <x v="0"/>
    <s v="Invoice"/>
    <d v="2025-11-01T00:00:00"/>
    <n v="6295"/>
    <n v="24777.599999999999"/>
    <d v="2025-11-21T00:00:00"/>
    <n v="2025"/>
    <n v="11"/>
    <x v="0"/>
    <x v="11"/>
    <n v="20"/>
  </r>
  <r>
    <x v="39"/>
    <x v="1"/>
    <x v="0"/>
    <x v="0"/>
    <s v="Invoice"/>
    <d v="2025-12-01T00:00:00"/>
    <n v="6313"/>
    <n v="24777.599999999999"/>
    <d v="2025-12-19T00:00:00"/>
    <n v="2025"/>
    <n v="12"/>
    <x v="0"/>
    <x v="5"/>
    <n v="18"/>
  </r>
  <r>
    <x v="39"/>
    <x v="1"/>
    <x v="0"/>
    <x v="0"/>
    <s v="Invoice"/>
    <d v="2026-01-01T00:00:00"/>
    <n v="6333"/>
    <n v="24777.599999999999"/>
    <d v="2026-01-26T00:00:00"/>
    <n v="2026"/>
    <n v="1"/>
    <x v="1"/>
    <x v="0"/>
    <n v="25"/>
  </r>
  <r>
    <x v="39"/>
    <x v="1"/>
    <x v="0"/>
    <x v="1"/>
    <s v="Invoice"/>
    <d v="2026-02-01T00:00:00"/>
    <s v="XXXX"/>
    <n v="24777.599999999999"/>
    <d v="2026-02-26T00:00:00"/>
    <n v="2026"/>
    <n v="2"/>
    <x v="1"/>
    <x v="2"/>
    <n v="25"/>
  </r>
  <r>
    <x v="39"/>
    <x v="1"/>
    <x v="0"/>
    <x v="1"/>
    <s v="Invoice"/>
    <d v="2026-03-01T00:00:00"/>
    <s v="XXXX"/>
    <n v="24777.599999999999"/>
    <d v="2026-03-26T00:00:00"/>
    <n v="2026"/>
    <n v="3"/>
    <x v="1"/>
    <x v="1"/>
    <n v="25"/>
  </r>
  <r>
    <x v="39"/>
    <x v="1"/>
    <x v="0"/>
    <x v="1"/>
    <s v="Invoice"/>
    <d v="2026-04-01T00:00:00"/>
    <s v="XXXX"/>
    <n v="24777.599999999999"/>
    <d v="2026-04-26T00:00:00"/>
    <n v="2026"/>
    <n v="4"/>
    <x v="1"/>
    <x v="3"/>
    <n v="25"/>
  </r>
  <r>
    <x v="39"/>
    <x v="1"/>
    <x v="0"/>
    <x v="1"/>
    <s v="Invoice"/>
    <d v="2026-05-01T00:00:00"/>
    <s v="XXXX"/>
    <n v="24777.599999999999"/>
    <d v="2026-05-26T00:00:00"/>
    <n v="2026"/>
    <n v="5"/>
    <x v="1"/>
    <x v="6"/>
    <n v="25"/>
  </r>
  <r>
    <x v="39"/>
    <x v="1"/>
    <x v="0"/>
    <x v="1"/>
    <s v="Invoice"/>
    <d v="2026-06-01T00:00:00"/>
    <s v="XXXX"/>
    <n v="24777.599999999999"/>
    <d v="2026-06-26T00:00:00"/>
    <n v="2026"/>
    <n v="6"/>
    <x v="1"/>
    <x v="4"/>
    <n v="25"/>
  </r>
  <r>
    <x v="39"/>
    <x v="1"/>
    <x v="0"/>
    <x v="1"/>
    <s v="Invoice"/>
    <d v="2026-07-01T00:00:00"/>
    <s v="XXXX"/>
    <n v="24777.599999999999"/>
    <d v="2026-07-26T00:00:00"/>
    <n v="2026"/>
    <n v="7"/>
    <x v="1"/>
    <x v="7"/>
    <n v="25"/>
  </r>
  <r>
    <x v="40"/>
    <x v="0"/>
    <x v="1"/>
    <x v="0"/>
    <s v="Invoice"/>
    <d v="2024-10-31T00:00:00"/>
    <n v="6115"/>
    <n v="165384"/>
    <d v="2025-02-14T00:00:00"/>
    <n v="2024"/>
    <n v="10"/>
    <x v="0"/>
    <x v="2"/>
    <n v="106"/>
  </r>
  <r>
    <x v="40"/>
    <x v="0"/>
    <x v="1"/>
    <x v="0"/>
    <s v="Invoice"/>
    <d v="2025-01-31T00:00:00"/>
    <n v="6163"/>
    <n v="5722.25"/>
    <d v="2025-06-25T00:00:00"/>
    <n v="2025"/>
    <n v="1"/>
    <x v="0"/>
    <x v="4"/>
    <n v="145"/>
  </r>
  <r>
    <x v="40"/>
    <x v="0"/>
    <x v="1"/>
    <x v="0"/>
    <s v="Invoice"/>
    <d v="2025-02-28T00:00:00"/>
    <n v="6176"/>
    <n v="41456.5"/>
    <d v="2025-08-12T00:00:00"/>
    <n v="2025"/>
    <n v="2"/>
    <x v="0"/>
    <x v="8"/>
    <n v="165"/>
  </r>
  <r>
    <x v="40"/>
    <x v="0"/>
    <x v="1"/>
    <x v="0"/>
    <s v="Invoice"/>
    <d v="2025-03-31T00:00:00"/>
    <n v="6193"/>
    <n v="11534.5"/>
    <d v="2025-10-30T00:00:00"/>
    <n v="2025"/>
    <n v="3"/>
    <x v="0"/>
    <x v="10"/>
    <n v="213"/>
  </r>
  <r>
    <x v="40"/>
    <x v="0"/>
    <x v="1"/>
    <x v="0"/>
    <s v="Invoice"/>
    <d v="2025-04-30T00:00:00"/>
    <n v="6211"/>
    <n v="8289"/>
    <d v="2025-07-15T00:00:00"/>
    <n v="2025"/>
    <n v="4"/>
    <x v="0"/>
    <x v="7"/>
    <n v="76"/>
  </r>
  <r>
    <x v="40"/>
    <x v="0"/>
    <x v="1"/>
    <x v="0"/>
    <s v="Invoice"/>
    <d v="2025-04-30T00:00:00"/>
    <n v="6212"/>
    <n v="8400"/>
    <d v="2025-10-30T00:00:00"/>
    <n v="2025"/>
    <n v="4"/>
    <x v="0"/>
    <x v="10"/>
    <n v="183"/>
  </r>
  <r>
    <x v="40"/>
    <x v="0"/>
    <x v="1"/>
    <x v="0"/>
    <s v="Invoice"/>
    <d v="2025-05-31T00:00:00"/>
    <n v="6226"/>
    <n v="18810"/>
    <d v="2025-09-25T00:00:00"/>
    <n v="2025"/>
    <n v="5"/>
    <x v="0"/>
    <x v="9"/>
    <n v="117"/>
  </r>
  <r>
    <x v="40"/>
    <x v="0"/>
    <x v="1"/>
    <x v="0"/>
    <s v="Invoice"/>
    <d v="2025-05-31T00:00:00"/>
    <n v="6227"/>
    <n v="23635.5"/>
    <d v="2025-07-28T00:00:00"/>
    <n v="2025"/>
    <n v="5"/>
    <x v="0"/>
    <x v="7"/>
    <n v="58"/>
  </r>
  <r>
    <x v="40"/>
    <x v="0"/>
    <x v="1"/>
    <x v="0"/>
    <s v="Invoice"/>
    <d v="2025-06-30T00:00:00"/>
    <n v="6240"/>
    <n v="274"/>
    <d v="2025-10-07T00:00:00"/>
    <n v="2025"/>
    <n v="6"/>
    <x v="0"/>
    <x v="10"/>
    <n v="99"/>
  </r>
  <r>
    <x v="40"/>
    <x v="0"/>
    <x v="1"/>
    <x v="0"/>
    <s v="Invoice"/>
    <d v="2025-06-30T00:00:00"/>
    <n v="6241"/>
    <n v="10984.5"/>
    <d v="2025-07-28T00:00:00"/>
    <n v="2025"/>
    <n v="6"/>
    <x v="0"/>
    <x v="7"/>
    <n v="28"/>
  </r>
  <r>
    <x v="40"/>
    <x v="0"/>
    <x v="1"/>
    <x v="0"/>
    <s v="Invoice"/>
    <d v="2025-07-31T00:00:00"/>
    <n v="6253"/>
    <n v="6011"/>
    <d v="2025-11-04T00:00:00"/>
    <n v="2025"/>
    <n v="7"/>
    <x v="0"/>
    <x v="11"/>
    <n v="96"/>
  </r>
  <r>
    <x v="40"/>
    <x v="0"/>
    <x v="1"/>
    <x v="0"/>
    <s v="Invoice"/>
    <d v="2025-07-31T00:00:00"/>
    <n v="6254"/>
    <n v="11452"/>
    <d v="2025-12-10T00:00:00"/>
    <n v="2025"/>
    <n v="7"/>
    <x v="0"/>
    <x v="5"/>
    <n v="132"/>
  </r>
  <r>
    <x v="40"/>
    <x v="0"/>
    <x v="1"/>
    <x v="0"/>
    <s v="Invoice"/>
    <d v="2025-08-31T00:00:00"/>
    <n v="6271"/>
    <n v="3819"/>
    <d v="2025-12-10T00:00:00"/>
    <n v="2025"/>
    <n v="8"/>
    <x v="0"/>
    <x v="5"/>
    <n v="101"/>
  </r>
  <r>
    <x v="40"/>
    <x v="0"/>
    <x v="1"/>
    <x v="0"/>
    <s v="Invoice"/>
    <d v="2025-09-30T00:00:00"/>
    <n v="6282"/>
    <n v="1370"/>
    <d v="2026-01-01T00:00:00"/>
    <n v="2025"/>
    <n v="9"/>
    <x v="1"/>
    <x v="0"/>
    <n v="93"/>
  </r>
  <r>
    <x v="41"/>
    <x v="0"/>
    <x v="1"/>
    <x v="0"/>
    <s v="Invoice"/>
    <d v="2025-08-22T00:00:00"/>
    <n v="6261"/>
    <n v="176170"/>
    <d v="2025-12-10T00:00:00"/>
    <n v="2025"/>
    <n v="8"/>
    <x v="0"/>
    <x v="5"/>
    <n v="110"/>
  </r>
  <r>
    <x v="41"/>
    <x v="0"/>
    <x v="1"/>
    <x v="0"/>
    <s v="Invoice"/>
    <d v="2025-11-30T00:00:00"/>
    <n v="6319"/>
    <n v="31017"/>
    <d v="2026-02-28T00:00:00"/>
    <n v="2025"/>
    <n v="11"/>
    <x v="1"/>
    <x v="2"/>
    <n v="90"/>
  </r>
  <r>
    <x v="41"/>
    <x v="0"/>
    <x v="1"/>
    <x v="0"/>
    <s v="Invoice"/>
    <d v="2025-12-12T00:00:00"/>
    <n v="6325"/>
    <n v="8937"/>
    <d v="2026-03-12T00:00:00"/>
    <n v="2025"/>
    <n v="12"/>
    <x v="1"/>
    <x v="1"/>
    <n v="90"/>
  </r>
  <r>
    <x v="41"/>
    <x v="0"/>
    <x v="1"/>
    <x v="1"/>
    <s v="Invoice"/>
    <d v="2026-01-31T00:00:00"/>
    <s v="XXXX"/>
    <n v="30496"/>
    <d v="2026-05-01T00:00:00"/>
    <n v="2026"/>
    <n v="1"/>
    <x v="1"/>
    <x v="6"/>
    <n v="90"/>
  </r>
  <r>
    <x v="42"/>
    <x v="0"/>
    <x v="1"/>
    <x v="1"/>
    <s v="Invoice"/>
    <d v="2026-02-28T00:00:00"/>
    <s v="XXXX"/>
    <n v="54949"/>
    <d v="2026-05-29T00:00:00"/>
    <n v="2026"/>
    <n v="2"/>
    <x v="1"/>
    <x v="6"/>
    <n v="90"/>
  </r>
  <r>
    <x v="43"/>
    <x v="1"/>
    <x v="1"/>
    <x v="0"/>
    <s v="Invoice"/>
    <d v="2025-06-30T00:00:00"/>
    <n v="6235"/>
    <n v="12000"/>
    <d v="2025-07-25T00:00:00"/>
    <n v="2025"/>
    <n v="6"/>
    <x v="0"/>
    <x v="7"/>
    <n v="25"/>
  </r>
  <r>
    <x v="43"/>
    <x v="1"/>
    <x v="1"/>
    <x v="0"/>
    <s v="Invoice"/>
    <d v="2025-06-30T00:00:00"/>
    <n v="6237"/>
    <n v="5000"/>
    <d v="2025-08-04T00:00:00"/>
    <n v="2025"/>
    <n v="6"/>
    <x v="0"/>
    <x v="8"/>
    <n v="35"/>
  </r>
  <r>
    <x v="43"/>
    <x v="1"/>
    <x v="1"/>
    <x v="0"/>
    <s v="Invoice"/>
    <d v="2025-11-01T00:00:00"/>
    <n v="6300"/>
    <n v="4000"/>
    <d v="2025-12-10T00:00:00"/>
    <n v="2025"/>
    <n v="11"/>
    <x v="0"/>
    <x v="5"/>
    <n v="39"/>
  </r>
  <r>
    <x v="44"/>
    <x v="1"/>
    <x v="1"/>
    <x v="0"/>
    <s v="Invoice"/>
    <d v="2025-11-01T00:00:00"/>
    <n v="6301"/>
    <n v="3000"/>
    <d v="2025-12-10T00:00:00"/>
    <n v="2025"/>
    <n v="11"/>
    <x v="0"/>
    <x v="5"/>
    <n v="39"/>
  </r>
  <r>
    <x v="44"/>
    <x v="1"/>
    <x v="1"/>
    <x v="0"/>
    <s v="Invoice"/>
    <d v="2025-12-01T00:00:00"/>
    <n v="6317"/>
    <n v="3000"/>
    <d v="2026-01-15T00:00:00"/>
    <n v="2025"/>
    <n v="12"/>
    <x v="1"/>
    <x v="0"/>
    <n v="45"/>
  </r>
  <r>
    <x v="44"/>
    <x v="1"/>
    <x v="1"/>
    <x v="0"/>
    <s v="Invoice"/>
    <d v="2026-01-01T00:00:00"/>
    <n v="6337"/>
    <n v="3000"/>
    <d v="2026-02-15T00:00:00"/>
    <n v="2026"/>
    <n v="1"/>
    <x v="1"/>
    <x v="2"/>
    <n v="45"/>
  </r>
  <r>
    <x v="44"/>
    <x v="1"/>
    <x v="1"/>
    <x v="1"/>
    <s v="Invoice"/>
    <d v="2026-02-01T00:00:00"/>
    <s v="XXXX"/>
    <n v="3000"/>
    <d v="2026-03-18T00:00:00"/>
    <n v="2026"/>
    <n v="2"/>
    <x v="1"/>
    <x v="1"/>
    <n v="45"/>
  </r>
  <r>
    <x v="44"/>
    <x v="1"/>
    <x v="1"/>
    <x v="1"/>
    <s v="Invoice"/>
    <d v="2026-03-01T00:00:00"/>
    <s v="XXXX"/>
    <n v="3000"/>
    <d v="2026-04-15T00:00:00"/>
    <n v="2026"/>
    <n v="3"/>
    <x v="1"/>
    <x v="3"/>
    <n v="45"/>
  </r>
  <r>
    <x v="44"/>
    <x v="1"/>
    <x v="1"/>
    <x v="1"/>
    <s v="Invoice"/>
    <d v="2026-04-01T00:00:00"/>
    <s v="XXXX"/>
    <n v="3000"/>
    <d v="2026-05-16T00:00:00"/>
    <n v="2026"/>
    <n v="4"/>
    <x v="1"/>
    <x v="6"/>
    <n v="45"/>
  </r>
  <r>
    <x v="44"/>
    <x v="1"/>
    <x v="1"/>
    <x v="1"/>
    <s v="Invoice"/>
    <d v="2026-05-01T00:00:00"/>
    <s v="XXXX"/>
    <n v="3000"/>
    <d v="2026-06-15T00:00:00"/>
    <n v="2026"/>
    <n v="5"/>
    <x v="1"/>
    <x v="4"/>
    <n v="45"/>
  </r>
  <r>
    <x v="44"/>
    <x v="1"/>
    <x v="1"/>
    <x v="1"/>
    <s v="Invoice"/>
    <d v="2026-06-01T00:00:00"/>
    <s v="XXXX"/>
    <n v="3000"/>
    <d v="2026-07-16T00:00:00"/>
    <n v="2026"/>
    <n v="6"/>
    <x v="1"/>
    <x v="7"/>
    <n v="45"/>
  </r>
  <r>
    <x v="44"/>
    <x v="1"/>
    <x v="1"/>
    <x v="1"/>
    <s v="Invoice"/>
    <d v="2026-07-01T00:00:00"/>
    <s v="XXXX"/>
    <n v="3000"/>
    <d v="2026-08-15T00:00:00"/>
    <n v="2026"/>
    <n v="7"/>
    <x v="1"/>
    <x v="8"/>
    <n v="45"/>
  </r>
  <r>
    <x v="44"/>
    <x v="1"/>
    <x v="1"/>
    <x v="1"/>
    <s v="Invoice"/>
    <d v="2026-08-01T00:00:00"/>
    <s v="XXXX"/>
    <n v="3000"/>
    <d v="2026-09-15T00:00:00"/>
    <n v="2026"/>
    <n v="8"/>
    <x v="1"/>
    <x v="9"/>
    <n v="45"/>
  </r>
  <r>
    <x v="44"/>
    <x v="1"/>
    <x v="1"/>
    <x v="1"/>
    <s v="Invoice"/>
    <d v="2026-09-01T00:00:00"/>
    <s v="XXXX"/>
    <n v="3000"/>
    <d v="2026-10-16T00:00:00"/>
    <n v="2026"/>
    <n v="9"/>
    <x v="1"/>
    <x v="10"/>
    <n v="45"/>
  </r>
  <r>
    <x v="44"/>
    <x v="1"/>
    <x v="1"/>
    <x v="1"/>
    <s v="Invoice"/>
    <d v="2026-10-01T00:00:00"/>
    <s v="XXXX"/>
    <n v="3000"/>
    <d v="2026-11-15T00:00:00"/>
    <n v="2026"/>
    <n v="10"/>
    <x v="1"/>
    <x v="11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BCAC9-EC5B-4223-8E4B-35A7ECEC5382}" name="PivotTable2" cacheId="109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outline="1" outlineData="1" multipleFieldFilters="0" rowHeaderCaption="Customer / Project">
  <location ref="A3:R51" firstHeaderRow="1" firstDataRow="3" firstDataCol="1"/>
  <pivotFields count="14">
    <pivotField axis="axisRow" showAll="0" sortType="ascending">
      <items count="61">
        <item x="0"/>
        <item x="1"/>
        <item x="2"/>
        <item x="3"/>
        <item x="4"/>
        <item x="5"/>
        <item x="7"/>
        <item x="6"/>
        <item x="8"/>
        <item x="13"/>
        <item m="1" x="59"/>
        <item x="9"/>
        <item x="10"/>
        <item x="11"/>
        <item x="12"/>
        <item x="14"/>
        <item x="15"/>
        <item x="17"/>
        <item m="1" x="55"/>
        <item x="16"/>
        <item m="1" x="57"/>
        <item m="1" x="56"/>
        <item m="1" x="58"/>
        <item x="18"/>
        <item x="19"/>
        <item m="1" x="50"/>
        <item x="20"/>
        <item x="21"/>
        <item x="22"/>
        <item x="23"/>
        <item m="1" x="45"/>
        <item m="1" x="48"/>
        <item x="24"/>
        <item x="25"/>
        <item x="26"/>
        <item x="27"/>
        <item m="1" x="49"/>
        <item m="1" x="46"/>
        <item x="28"/>
        <item x="29"/>
        <item x="30"/>
        <item x="31"/>
        <item m="1" x="4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51"/>
        <item m="1" x="52"/>
        <item m="1" x="53"/>
        <item m="1" x="54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numFmtId="8" showAll="0"/>
    <pivotField showAll="0"/>
    <pivotField numFmtId="164" multipleItemSelectionAllowed="1" showAll="0"/>
    <pivotField numFmtId="164" showAll="0"/>
    <pivotField axis="axisCol" numFmtId="164" showAll="0">
      <items count="6">
        <item x="0"/>
        <item sd="0" x="1"/>
        <item sd="0" x="2"/>
        <item sd="0" x="3"/>
        <item m="1" x="4"/>
        <item t="default"/>
      </items>
    </pivotField>
    <pivotField axis="axisCol" numFmtId="164" showAll="0">
      <items count="13">
        <item x="0"/>
        <item x="2"/>
        <item x="1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numFmtId="164" showAll="0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3"/>
    </i>
    <i>
      <x v="24"/>
    </i>
    <i>
      <x v="26"/>
    </i>
    <i>
      <x v="27"/>
    </i>
    <i>
      <x v="28"/>
    </i>
    <i>
      <x v="29"/>
    </i>
    <i>
      <x v="32"/>
    </i>
    <i>
      <x v="33"/>
    </i>
    <i>
      <x v="34"/>
    </i>
    <i>
      <x v="35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Fields count="2">
    <field x="11"/>
    <field x="12"/>
  </colFields>
  <colItems count="1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</i>
    <i>
      <x v="2"/>
    </i>
    <i>
      <x v="3"/>
    </i>
    <i t="grand">
      <x/>
    </i>
  </colItems>
  <dataFields count="1">
    <dataField name="Sum of Invoice Amount" fld="7" baseField="0" baseItem="0" numFmtId="38"/>
  </dataFields>
  <formats count="16">
    <format dxfId="132">
      <pivotArea type="all" dataOnly="0" outline="0" fieldPosition="0"/>
    </format>
    <format dxfId="131">
      <pivotArea outline="0" collapsedLevelsAreSubtotals="1" fieldPosition="0"/>
    </format>
    <format dxfId="130">
      <pivotArea type="origin" dataOnly="0" labelOnly="1" outline="0" fieldPosition="0"/>
    </format>
    <format dxfId="129">
      <pivotArea field="11" type="button" dataOnly="0" labelOnly="1" outline="0" axis="axisCol" fieldPosition="0"/>
    </format>
    <format dxfId="128">
      <pivotArea field="12" type="button" dataOnly="0" labelOnly="1" outline="0" axis="axisCol" fieldPosition="1"/>
    </format>
    <format dxfId="127">
      <pivotArea type="topRight" dataOnly="0" labelOnly="1" outline="0" fieldPosition="0"/>
    </format>
    <format dxfId="126">
      <pivotArea field="0" type="button" dataOnly="0" labelOnly="1" outline="0" axis="axisRow" fieldPosition="0"/>
    </format>
    <format dxfId="125">
      <pivotArea dataOnly="0" labelOnly="1" fieldPosition="0">
        <references count="1">
          <reference field="0" count="0"/>
        </references>
      </pivotArea>
    </format>
    <format dxfId="124">
      <pivotArea dataOnly="0" labelOnly="1" grandRow="1" outline="0" fieldPosition="0"/>
    </format>
    <format dxfId="123">
      <pivotArea dataOnly="0" labelOnly="1" fieldPosition="0">
        <references count="1">
          <reference field="11" count="0"/>
        </references>
      </pivotArea>
    </format>
    <format dxfId="122">
      <pivotArea dataOnly="0" labelOnly="1" fieldPosition="0">
        <references count="1">
          <reference field="11" count="0" defaultSubtotal="1"/>
        </references>
      </pivotArea>
    </format>
    <format dxfId="121">
      <pivotArea dataOnly="0" labelOnly="1" grandCol="1" outline="0" fieldPosition="0"/>
    </format>
    <format dxfId="120">
      <pivotArea dataOnly="0" labelOnly="1" fieldPosition="0">
        <references count="2">
          <reference field="11" count="1" selected="0">
            <x v="0"/>
          </reference>
          <reference field="12" count="0"/>
        </references>
      </pivotArea>
    </format>
    <format dxfId="119">
      <pivotArea outline="0" collapsedLevelsAreSubtotals="1" fieldPosition="0"/>
    </format>
    <format dxfId="118">
      <pivotArea dataOnly="0" labelOnly="1" fieldPosition="0">
        <references count="2">
          <reference field="11" count="1" selected="0">
            <x v="0"/>
          </reference>
          <reference field="12" count="0"/>
        </references>
      </pivotArea>
    </format>
    <format dxfId="11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A2ADC-8A2F-4302-A429-4A9C8B1516CC}" name="PivotTable2" cacheId="109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outline="1" outlineData="1" multipleFieldFilters="0" rowHeaderCaption="Customer / Project">
  <location ref="A3:AK70" firstHeaderRow="1" firstDataRow="3" firstDataCol="1"/>
  <pivotFields count="14">
    <pivotField axis="axisRow" showAll="0" sortType="ascending">
      <items count="61">
        <item x="0"/>
        <item x="1"/>
        <item x="2"/>
        <item x="3"/>
        <item x="4"/>
        <item x="5"/>
        <item x="7"/>
        <item x="6"/>
        <item x="8"/>
        <item x="13"/>
        <item m="1" x="59"/>
        <item x="9"/>
        <item x="10"/>
        <item x="11"/>
        <item x="12"/>
        <item x="14"/>
        <item x="15"/>
        <item x="17"/>
        <item m="1" x="55"/>
        <item x="16"/>
        <item m="1" x="57"/>
        <item m="1" x="56"/>
        <item m="1" x="58"/>
        <item x="18"/>
        <item x="19"/>
        <item m="1" x="50"/>
        <item x="20"/>
        <item x="21"/>
        <item x="22"/>
        <item x="23"/>
        <item m="1" x="45"/>
        <item m="1" x="48"/>
        <item x="24"/>
        <item x="25"/>
        <item x="26"/>
        <item x="27"/>
        <item m="1" x="49"/>
        <item m="1" x="46"/>
        <item x="28"/>
        <item x="29"/>
        <item x="30"/>
        <item x="31"/>
        <item m="1" x="4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51"/>
        <item m="1" x="52"/>
        <item m="1" x="53"/>
        <item m="1" x="54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dataField="1" numFmtId="8" showAll="0"/>
    <pivotField showAll="0"/>
    <pivotField numFmtId="164" showAll="0"/>
    <pivotField numFmtId="164" showAll="0"/>
    <pivotField axis="axisCol" numFmtId="164" showAll="0">
      <items count="6">
        <item x="0"/>
        <item x="1"/>
        <item x="2"/>
        <item x="3"/>
        <item m="1" x="4"/>
        <item t="default"/>
      </items>
    </pivotField>
    <pivotField axis="axisCol" numFmtId="164" showAll="0">
      <items count="13">
        <item x="0"/>
        <item x="2"/>
        <item x="1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numFmtId="164" showAll="0"/>
  </pivotFields>
  <rowFields count="2">
    <field x="3"/>
    <field x="0"/>
  </rowFields>
  <rowItems count="6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3"/>
    </i>
    <i r="1">
      <x v="24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5"/>
    </i>
    <i r="1">
      <x v="38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5"/>
    </i>
    <i>
      <x v="1"/>
    </i>
    <i r="1">
      <x v="1"/>
    </i>
    <i r="1">
      <x v="3"/>
    </i>
    <i r="1">
      <x v="6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 r="1">
      <x v="32"/>
    </i>
    <i r="1">
      <x v="35"/>
    </i>
    <i r="1">
      <x v="38"/>
    </i>
    <i r="1">
      <x v="39"/>
    </i>
    <i r="1">
      <x v="40"/>
    </i>
    <i r="1">
      <x v="41"/>
    </i>
    <i r="1">
      <x v="43"/>
    </i>
    <i r="1">
      <x v="50"/>
    </i>
    <i r="1">
      <x v="52"/>
    </i>
    <i r="1">
      <x v="53"/>
    </i>
    <i r="1">
      <x v="55"/>
    </i>
    <i>
      <x v="2"/>
    </i>
    <i r="1">
      <x v="33"/>
    </i>
    <i t="grand">
      <x/>
    </i>
  </rowItems>
  <colFields count="2">
    <field x="11"/>
    <field x="12"/>
  </colFields>
  <colItems count="3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 v="3"/>
    </i>
    <i r="1">
      <x v="4"/>
    </i>
    <i t="default">
      <x v="3"/>
    </i>
    <i t="grand">
      <x/>
    </i>
  </colItems>
  <dataFields count="1">
    <dataField name="Sum of Invoice Amount" fld="7" baseField="0" baseItem="0" numFmtId="38"/>
  </dataFields>
  <formats count="16">
    <format dxfId="116">
      <pivotArea type="all" dataOnly="0" outline="0" fieldPosition="0"/>
    </format>
    <format dxfId="115">
      <pivotArea outline="0" collapsedLevelsAreSubtotals="1" fieldPosition="0"/>
    </format>
    <format dxfId="114">
      <pivotArea type="origin" dataOnly="0" labelOnly="1" outline="0" fieldPosition="0"/>
    </format>
    <format dxfId="113">
      <pivotArea field="11" type="button" dataOnly="0" labelOnly="1" outline="0" axis="axisCol" fieldPosition="0"/>
    </format>
    <format dxfId="112">
      <pivotArea field="12" type="button" dataOnly="0" labelOnly="1" outline="0" axis="axisCol" fieldPosition="1"/>
    </format>
    <format dxfId="111">
      <pivotArea type="topRight" dataOnly="0" labelOnly="1" outline="0" fieldPosition="0"/>
    </format>
    <format dxfId="110">
      <pivotArea field="0" type="button" dataOnly="0" labelOnly="1" outline="0" axis="axisRow" fieldPosition="1"/>
    </format>
    <format dxfId="109">
      <pivotArea dataOnly="0" labelOnly="1" fieldPosition="0">
        <references count="1">
          <reference field="0" count="0"/>
        </references>
      </pivotArea>
    </format>
    <format dxfId="108">
      <pivotArea dataOnly="0" labelOnly="1" grandRow="1" outline="0" fieldPosition="0"/>
    </format>
    <format dxfId="107">
      <pivotArea dataOnly="0" labelOnly="1" fieldPosition="0">
        <references count="1">
          <reference field="11" count="0"/>
        </references>
      </pivotArea>
    </format>
    <format dxfId="106">
      <pivotArea dataOnly="0" labelOnly="1" fieldPosition="0">
        <references count="1">
          <reference field="11" count="0" defaultSubtotal="1"/>
        </references>
      </pivotArea>
    </format>
    <format dxfId="105">
      <pivotArea dataOnly="0" labelOnly="1" grandCol="1" outline="0" fieldPosition="0"/>
    </format>
    <format dxfId="104">
      <pivotArea dataOnly="0" labelOnly="1" fieldPosition="0">
        <references count="2">
          <reference field="11" count="1" selected="0">
            <x v="0"/>
          </reference>
          <reference field="12" count="0"/>
        </references>
      </pivotArea>
    </format>
    <format dxfId="103">
      <pivotArea outline="0" collapsedLevelsAreSubtotals="1" fieldPosition="0"/>
    </format>
    <format dxfId="102">
      <pivotArea dataOnly="0" labelOnly="1" fieldPosition="0">
        <references count="2">
          <reference field="11" count="1" selected="0">
            <x v="0"/>
          </reference>
          <reference field="12" count="0"/>
        </references>
      </pivotArea>
    </format>
    <format dxfId="101">
      <pivotArea dataOnly="0" labelOnly="1" fieldPosition="0">
        <references count="1">
          <reference field="0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996E7-7D9A-4A93-9AC8-0C8BEC98041C}" name="PivotTable1" cacheId="109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outline="1" outlineData="1" multipleFieldFilters="0">
  <location ref="A3:AK14" firstHeaderRow="1" firstDataRow="3" firstDataCol="1"/>
  <pivotFields count="14">
    <pivotField showAll="0"/>
    <pivotField axis="axisRow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65" showAll="0"/>
    <pivotField showAll="0"/>
    <pivotField dataField="1" numFmtId="8" showAll="0"/>
    <pivotField numFmtId="165" showAll="0"/>
    <pivotField numFmtId="164" showAll="0"/>
    <pivotField numFmtId="164" showAll="0"/>
    <pivotField axis="axisCol" numFmtId="164" showAll="0">
      <items count="6">
        <item x="0"/>
        <item x="1"/>
        <item x="2"/>
        <item x="3"/>
        <item m="1" x="4"/>
        <item t="default"/>
      </items>
    </pivotField>
    <pivotField axis="axisCol" numFmtId="164" showAll="0">
      <items count="13">
        <item x="0"/>
        <item x="2"/>
        <item x="1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numFmtId="164" showAll="0"/>
  </pivotFields>
  <rowFields count="2">
    <field x="1"/>
    <field x="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2">
    <field x="11"/>
    <field x="12"/>
  </colFields>
  <colItems count="3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 v="3"/>
    </i>
    <i r="1">
      <x v="4"/>
    </i>
    <i t="default">
      <x v="3"/>
    </i>
    <i t="grand">
      <x/>
    </i>
  </colItems>
  <dataFields count="1">
    <dataField name="Sum of Invoice Amount" fld="7" baseField="0" baseItem="0" numFmtId="38"/>
  </dataFields>
  <formats count="16">
    <format dxfId="100">
      <pivotArea type="all" dataOnly="0" outline="0" fieldPosition="0"/>
    </format>
    <format dxfId="99">
      <pivotArea outline="0" collapsedLevelsAreSubtotals="1" fieldPosition="0"/>
    </format>
    <format dxfId="98">
      <pivotArea type="origin" dataOnly="0" labelOnly="1" outline="0" fieldPosition="0"/>
    </format>
    <format dxfId="97">
      <pivotArea field="12" type="button" dataOnly="0" labelOnly="1" outline="0" axis="axisCol" fieldPosition="1"/>
    </format>
    <format dxfId="96">
      <pivotArea type="topRight" dataOnly="0" labelOnly="1" outline="0" fieldPosition="0"/>
    </format>
    <format dxfId="95">
      <pivotArea field="1" type="button" dataOnly="0" labelOnly="1" outline="0" axis="axisRow" fieldPosition="0"/>
    </format>
    <format dxfId="94">
      <pivotArea dataOnly="0" labelOnly="1" fieldPosition="0">
        <references count="1">
          <reference field="1" count="0"/>
        </references>
      </pivotArea>
    </format>
    <format dxfId="93">
      <pivotArea dataOnly="0" labelOnly="1" grandRow="1" outline="0" fieldPosition="0"/>
    </format>
    <format dxfId="92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91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90">
      <pivotArea dataOnly="0" labelOnly="1" fieldPosition="0">
        <references count="1">
          <reference field="12" count="0"/>
        </references>
      </pivotArea>
    </format>
    <format dxfId="89">
      <pivotArea dataOnly="0" labelOnly="1" grandCol="1" outline="0" fieldPosition="0"/>
    </format>
    <format dxfId="88">
      <pivotArea outline="0" collapsedLevelsAreSubtotals="1" fieldPosition="0"/>
    </format>
    <format dxfId="87">
      <pivotArea dataOnly="0" labelOnly="1" fieldPosition="0">
        <references count="1">
          <reference field="12" count="0"/>
        </references>
      </pivotArea>
    </format>
    <format dxfId="86">
      <pivotArea dataOnly="0" labelOnly="1" grandCol="1" outline="0" fieldPosition="0"/>
    </format>
    <format dxfId="0">
      <pivotArea field="12" grandRow="1" outline="0" collapsedLevelsAreSubtotals="1" axis="axisCol" fieldPosition="1">
        <references count="2">
          <reference field="11" count="1" selected="0">
            <x v="1"/>
          </reference>
          <reference field="12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60896-254E-4755-BCC0-5FB46AA12ADB}" name="PivotTable1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 rowPageCount="1" colPageCount="1"/>
  <pivotFields count="14">
    <pivotField axis="axisRow" showAll="0" sortType="ascending">
      <items count="61">
        <item x="0"/>
        <item x="1"/>
        <item x="2"/>
        <item x="3"/>
        <item x="4"/>
        <item x="5"/>
        <item x="7"/>
        <item x="6"/>
        <item x="8"/>
        <item x="13"/>
        <item m="1" x="59"/>
        <item x="9"/>
        <item x="10"/>
        <item x="11"/>
        <item x="12"/>
        <item x="14"/>
        <item x="15"/>
        <item x="17"/>
        <item m="1" x="55"/>
        <item x="16"/>
        <item m="1" x="57"/>
        <item m="1" x="56"/>
        <item m="1" x="58"/>
        <item x="18"/>
        <item x="19"/>
        <item m="1" x="50"/>
        <item x="20"/>
        <item x="21"/>
        <item x="22"/>
        <item x="23"/>
        <item m="1" x="45"/>
        <item m="1" x="48"/>
        <item x="24"/>
        <item x="25"/>
        <item x="26"/>
        <item x="27"/>
        <item m="1" x="49"/>
        <item m="1" x="46"/>
        <item x="28"/>
        <item x="29"/>
        <item x="30"/>
        <item x="31"/>
        <item m="1" x="4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51"/>
        <item m="1" x="52"/>
        <item m="1" x="53"/>
        <item m="1" x="54"/>
        <item t="default"/>
      </items>
    </pivotField>
    <pivotField showAll="0"/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showAll="0"/>
    <pivotField numFmtId="165" showAll="0"/>
    <pivotField showAll="0"/>
    <pivotField numFmtId="8" showAll="0"/>
    <pivotField numFmtId="165" showAll="0"/>
    <pivotField numFmtId="164" showAll="0"/>
    <pivotField numFmtId="164" showAll="0"/>
    <pivotField numFmtId="164" showAll="0"/>
    <pivotField numFmtId="164" showAll="0"/>
    <pivotField dataField="1" numFmtId="164"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3"/>
    </i>
    <i>
      <x v="24"/>
    </i>
    <i>
      <x v="26"/>
    </i>
    <i>
      <x v="27"/>
    </i>
    <i>
      <x v="28"/>
    </i>
    <i>
      <x v="29"/>
    </i>
    <i>
      <x v="32"/>
    </i>
    <i>
      <x v="34"/>
    </i>
    <i>
      <x v="35"/>
    </i>
    <i>
      <x v="38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5"/>
    </i>
    <i t="grand">
      <x/>
    </i>
  </rowItems>
  <colItems count="1">
    <i/>
  </colItems>
  <pageFields count="1">
    <pageField fld="3" hier="-1"/>
  </pageFields>
  <dataFields count="1">
    <dataField name="Average of Days Outstanding" fld="13" subtotal="average" baseField="0" baseItem="0" numFmtId="164"/>
  </dataFields>
  <formats count="9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0" type="button" dataOnly="0" labelOnly="1" outline="0" axis="axisRow" fieldPosition="0"/>
    </format>
    <format dxfId="82">
      <pivotArea dataOnly="0" labelOnly="1" fieldPosition="0">
        <references count="1">
          <reference field="0" count="20">
            <x v="0"/>
            <x v="2"/>
            <x v="4"/>
            <x v="5"/>
            <x v="8"/>
            <x v="10"/>
            <x v="13"/>
            <x v="18"/>
            <x v="21"/>
            <x v="23"/>
            <x v="24"/>
            <x v="28"/>
            <x v="29"/>
            <x v="30"/>
            <x v="34"/>
            <x v="45"/>
            <x v="47"/>
            <x v="48"/>
            <x v="49"/>
            <x v="58"/>
          </reference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dataOnly="0" outline="0" axis="axisValues" fieldPosition="0"/>
    </format>
    <format dxfId="78">
      <pivotArea dataOnly="0" outline="0" axis="axisValues" fieldPosition="0"/>
    </format>
    <format dxfId="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4E6D6-282B-45BB-828D-6E3B4A487F84}" name="PivotTable1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 rowPageCount="1" colPageCount="1"/>
  <pivotFields count="14">
    <pivotField showAll="0"/>
    <pivotField showAll="0"/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  <pivotField numFmtId="165" showAll="0"/>
    <pivotField showAll="0"/>
    <pivotField dataField="1" numFmtId="8" showAll="0"/>
    <pivotField numFmtId="165" showAll="0"/>
    <pivotField numFmtId="164" showAll="0"/>
    <pivotField numFmtId="164" showAll="0"/>
    <pivotField axis="axisRow" numFmtId="164" showAll="0">
      <items count="6">
        <item x="0"/>
        <item x="1"/>
        <item x="2"/>
        <item x="3"/>
        <item m="1" x="4"/>
        <item t="default"/>
      </items>
    </pivotField>
    <pivotField axis="axisRow" numFmtId="164" showAll="0">
      <items count="13">
        <item x="0"/>
        <item x="2"/>
        <item x="1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numFmtId="164" showAll="0"/>
  </pivotFields>
  <rowFields count="2">
    <field x="11"/>
    <field x="12"/>
  </rowFields>
  <rowItems count="3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2"/>
    </i>
    <i r="1">
      <x v="3"/>
    </i>
    <i r="1">
      <x v="4"/>
    </i>
    <i>
      <x v="3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Invoice Amount" fld="7" baseField="0" baseItem="0" numFmtId="8"/>
  </dataFields>
  <formats count="10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11" type="button" dataOnly="0" labelOnly="1" outline="0" axis="axisRow" fieldPosition="0"/>
    </format>
    <format dxfId="73">
      <pivotArea dataOnly="0" labelOnly="1" fieldPosition="0">
        <references count="1">
          <reference field="11" count="0"/>
        </references>
      </pivotArea>
    </format>
    <format dxfId="72">
      <pivotArea dataOnly="0" labelOnly="1" grandRow="1" outline="0" fieldPosition="0"/>
    </format>
    <format dxfId="71">
      <pivotArea dataOnly="0" labelOnly="1" fieldPosition="0">
        <references count="2">
          <reference field="11" count="1" selected="0">
            <x v="0"/>
          </reference>
          <reference field="12" count="0"/>
        </references>
      </pivotArea>
    </format>
    <format dxfId="70">
      <pivotArea dataOnly="0" labelOnly="1" fieldPosition="0">
        <references count="2">
          <reference field="11" count="1" selected="0">
            <x v="1"/>
          </reference>
          <reference field="12" count="0"/>
        </references>
      </pivotArea>
    </format>
    <format dxfId="69">
      <pivotArea dataOnly="0" labelOnly="1" fieldPosition="0">
        <references count="2">
          <reference field="11" count="1" selected="0">
            <x v="2"/>
          </reference>
          <reference field="12" count="4">
            <x v="0"/>
            <x v="1"/>
            <x v="2"/>
            <x v="3"/>
          </reference>
        </references>
      </pivotArea>
    </format>
    <format dxfId="68">
      <pivotArea dataOnly="0" labelOnly="1" fieldPosition="0">
        <references count="2">
          <reference field="11" count="1" selected="0">
            <x v="3"/>
          </reference>
          <reference field="12" count="2">
            <x v="1"/>
            <x v="3"/>
          </reference>
        </references>
      </pivotArea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2AF0-42A4-4076-9D59-5D92C480D8B8}">
  <dimension ref="A1:I61"/>
  <sheetViews>
    <sheetView topLeftCell="A7" workbookViewId="0">
      <selection activeCell="H41" sqref="H41"/>
    </sheetView>
  </sheetViews>
  <sheetFormatPr defaultRowHeight="12.75" customHeight="1" x14ac:dyDescent="0.25"/>
  <cols>
    <col min="1" max="1" width="69.42578125" style="9" customWidth="1"/>
    <col min="2" max="2" width="2.7109375" style="9" customWidth="1"/>
    <col min="3" max="5" width="12.7109375" style="9" customWidth="1"/>
    <col min="6" max="6" width="2.7109375" style="9" customWidth="1"/>
    <col min="7" max="9" width="12.7109375" style="9" customWidth="1"/>
    <col min="10" max="10" width="2.7109375" style="9" customWidth="1"/>
    <col min="11" max="11" width="9.140625" style="9"/>
    <col min="12" max="12" width="68.7109375" style="9" bestFit="1" customWidth="1"/>
    <col min="13" max="16384" width="9.140625" style="9"/>
  </cols>
  <sheetData>
    <row r="1" spans="1:9" ht="12.75" customHeight="1" x14ac:dyDescent="0.25">
      <c r="A1" s="43" t="s">
        <v>124</v>
      </c>
      <c r="C1" s="59" t="s">
        <v>125</v>
      </c>
      <c r="D1" s="59"/>
      <c r="E1" s="59"/>
      <c r="F1" s="44"/>
      <c r="G1" s="59" t="s">
        <v>95</v>
      </c>
      <c r="H1" s="59"/>
      <c r="I1" s="59"/>
    </row>
    <row r="2" spans="1:9" ht="12.75" customHeight="1" x14ac:dyDescent="0.25">
      <c r="A2" s="46" t="str">
        <f>"Version: "&amp;Version!C2</f>
        <v>Version: 001</v>
      </c>
      <c r="C2" s="44" t="s">
        <v>91</v>
      </c>
      <c r="D2" s="44" t="s">
        <v>92</v>
      </c>
      <c r="E2" s="44" t="s">
        <v>93</v>
      </c>
      <c r="F2" s="44"/>
      <c r="G2" s="44" t="s">
        <v>91</v>
      </c>
      <c r="H2" s="44" t="s">
        <v>92</v>
      </c>
      <c r="I2" s="44" t="s">
        <v>93</v>
      </c>
    </row>
    <row r="3" spans="1:9" ht="12.75" customHeight="1" x14ac:dyDescent="0.25">
      <c r="C3" s="44"/>
      <c r="D3" s="44"/>
      <c r="E3" s="44"/>
      <c r="F3" s="44"/>
      <c r="G3" s="44"/>
      <c r="H3" s="44"/>
      <c r="I3" s="44"/>
    </row>
    <row r="4" spans="1:9" ht="12.75" customHeight="1" x14ac:dyDescent="0.25">
      <c r="A4" s="9" t="s">
        <v>9</v>
      </c>
      <c r="C4" s="12">
        <v>0</v>
      </c>
      <c r="D4" s="12">
        <v>0</v>
      </c>
      <c r="E4" s="12">
        <f t="shared" ref="E4:E47" si="0">+C4-D4</f>
        <v>0</v>
      </c>
      <c r="F4" s="12"/>
      <c r="G4" s="12">
        <v>164879</v>
      </c>
      <c r="H4" s="12">
        <v>164879</v>
      </c>
      <c r="I4" s="12">
        <f t="shared" ref="I4:I47" si="1">+G4-H4</f>
        <v>0</v>
      </c>
    </row>
    <row r="5" spans="1:9" ht="12.75" customHeight="1" x14ac:dyDescent="0.25">
      <c r="A5" s="9" t="s">
        <v>52</v>
      </c>
      <c r="C5" s="12">
        <v>0</v>
      </c>
      <c r="D5" s="12">
        <v>0</v>
      </c>
      <c r="E5" s="12">
        <f t="shared" si="0"/>
        <v>0</v>
      </c>
      <c r="F5" s="12"/>
      <c r="G5" s="12">
        <v>154987</v>
      </c>
      <c r="H5" s="12">
        <v>129987</v>
      </c>
      <c r="I5" s="12">
        <f t="shared" si="1"/>
        <v>25000</v>
      </c>
    </row>
    <row r="6" spans="1:9" ht="12.75" customHeight="1" x14ac:dyDescent="0.25">
      <c r="A6" s="9" t="s">
        <v>16</v>
      </c>
      <c r="C6" s="12">
        <v>0</v>
      </c>
      <c r="D6" s="12">
        <v>0</v>
      </c>
      <c r="E6" s="12">
        <f t="shared" si="0"/>
        <v>0</v>
      </c>
      <c r="F6" s="12"/>
      <c r="G6" s="12">
        <v>6195</v>
      </c>
      <c r="H6" s="12">
        <v>6195</v>
      </c>
      <c r="I6" s="12">
        <f t="shared" si="1"/>
        <v>0</v>
      </c>
    </row>
    <row r="7" spans="1:9" ht="12.75" customHeight="1" x14ac:dyDescent="0.25">
      <c r="A7" s="9" t="s">
        <v>1</v>
      </c>
      <c r="C7" s="12">
        <v>0</v>
      </c>
      <c r="D7" s="12">
        <v>0</v>
      </c>
      <c r="E7" s="12">
        <f t="shared" si="0"/>
        <v>0</v>
      </c>
      <c r="F7" s="12"/>
      <c r="G7" s="12">
        <v>31079.4</v>
      </c>
      <c r="H7" s="12">
        <v>31079.4</v>
      </c>
      <c r="I7" s="12">
        <f t="shared" si="1"/>
        <v>0</v>
      </c>
    </row>
    <row r="8" spans="1:9" ht="12.75" customHeight="1" x14ac:dyDescent="0.25">
      <c r="A8" s="9" t="s">
        <v>2</v>
      </c>
      <c r="C8" s="12">
        <v>8750</v>
      </c>
      <c r="D8" s="12">
        <v>8750</v>
      </c>
      <c r="E8" s="12">
        <f t="shared" si="0"/>
        <v>0</v>
      </c>
      <c r="F8" s="12"/>
      <c r="G8" s="12">
        <v>124906.25</v>
      </c>
      <c r="H8" s="12">
        <v>124906.25</v>
      </c>
      <c r="I8" s="12">
        <f t="shared" si="1"/>
        <v>0</v>
      </c>
    </row>
    <row r="9" spans="1:9" ht="12.75" customHeight="1" x14ac:dyDescent="0.25">
      <c r="A9" s="9" t="s">
        <v>88</v>
      </c>
      <c r="C9" s="12">
        <v>3860</v>
      </c>
      <c r="D9" s="12">
        <v>3860</v>
      </c>
      <c r="E9" s="12">
        <f t="shared" si="0"/>
        <v>0</v>
      </c>
      <c r="F9" s="12"/>
      <c r="G9" s="12">
        <v>9650</v>
      </c>
      <c r="H9" s="12">
        <v>9650</v>
      </c>
      <c r="I9" s="12">
        <f t="shared" si="1"/>
        <v>0</v>
      </c>
    </row>
    <row r="10" spans="1:9" ht="12.75" customHeight="1" x14ac:dyDescent="0.25">
      <c r="A10" s="9" t="s">
        <v>11</v>
      </c>
      <c r="C10" s="12">
        <v>0</v>
      </c>
      <c r="D10" s="12">
        <v>0</v>
      </c>
      <c r="E10" s="12">
        <f t="shared" si="0"/>
        <v>0</v>
      </c>
      <c r="F10" s="12"/>
      <c r="G10" s="12">
        <v>15695</v>
      </c>
      <c r="H10" s="12">
        <v>15695</v>
      </c>
      <c r="I10" s="12">
        <f t="shared" si="1"/>
        <v>0</v>
      </c>
    </row>
    <row r="11" spans="1:9" ht="12.75" customHeight="1" x14ac:dyDescent="0.25">
      <c r="A11" s="9" t="s">
        <v>53</v>
      </c>
      <c r="C11" s="12">
        <v>35000</v>
      </c>
      <c r="D11" s="12">
        <v>35000</v>
      </c>
      <c r="E11" s="12">
        <f t="shared" si="0"/>
        <v>0</v>
      </c>
      <c r="F11" s="12"/>
      <c r="G11" s="12">
        <v>53000</v>
      </c>
      <c r="H11" s="12">
        <v>56000</v>
      </c>
      <c r="I11" s="12">
        <f t="shared" si="1"/>
        <v>-3000</v>
      </c>
    </row>
    <row r="12" spans="1:9" ht="12.75" customHeight="1" x14ac:dyDescent="0.25">
      <c r="A12" s="9" t="s">
        <v>45</v>
      </c>
      <c r="C12" s="12">
        <v>57000</v>
      </c>
      <c r="D12" s="12">
        <v>57000</v>
      </c>
      <c r="E12" s="12">
        <f t="shared" si="0"/>
        <v>0</v>
      </c>
      <c r="F12" s="12"/>
      <c r="G12" s="12">
        <v>82000</v>
      </c>
      <c r="H12" s="12">
        <v>82000</v>
      </c>
      <c r="I12" s="12">
        <f t="shared" si="1"/>
        <v>0</v>
      </c>
    </row>
    <row r="13" spans="1:9" ht="12.75" customHeight="1" x14ac:dyDescent="0.25">
      <c r="A13" s="9" t="s">
        <v>46</v>
      </c>
      <c r="C13" s="12">
        <v>24000</v>
      </c>
      <c r="D13" s="12">
        <v>24000</v>
      </c>
      <c r="E13" s="12">
        <f t="shared" si="0"/>
        <v>0</v>
      </c>
      <c r="F13" s="12"/>
      <c r="G13" s="12">
        <v>60000</v>
      </c>
      <c r="H13" s="12">
        <v>60000</v>
      </c>
      <c r="I13" s="12">
        <f t="shared" si="1"/>
        <v>0</v>
      </c>
    </row>
    <row r="14" spans="1:9" ht="12.75" customHeight="1" x14ac:dyDescent="0.25">
      <c r="A14" s="9" t="s">
        <v>13</v>
      </c>
      <c r="C14" s="12">
        <v>30724.400000000001</v>
      </c>
      <c r="D14" s="12">
        <v>30724.400000000001</v>
      </c>
      <c r="E14" s="12">
        <f t="shared" si="0"/>
        <v>0</v>
      </c>
      <c r="F14" s="12"/>
      <c r="G14" s="12">
        <v>50400</v>
      </c>
      <c r="H14" s="12">
        <v>50400</v>
      </c>
      <c r="I14" s="12">
        <f t="shared" si="1"/>
        <v>0</v>
      </c>
    </row>
    <row r="15" spans="1:9" ht="12.75" customHeight="1" x14ac:dyDescent="0.25">
      <c r="A15" s="9" t="s">
        <v>56</v>
      </c>
      <c r="C15" s="12">
        <v>3300</v>
      </c>
      <c r="D15" s="12">
        <v>3300</v>
      </c>
      <c r="E15" s="12">
        <f t="shared" si="0"/>
        <v>0</v>
      </c>
      <c r="F15" s="12"/>
      <c r="G15" s="12">
        <v>9900</v>
      </c>
      <c r="H15" s="12">
        <v>9900</v>
      </c>
      <c r="I15" s="12">
        <f t="shared" si="1"/>
        <v>0</v>
      </c>
    </row>
    <row r="16" spans="1:9" ht="12.75" customHeight="1" x14ac:dyDescent="0.25">
      <c r="A16" s="9" t="s">
        <v>47</v>
      </c>
      <c r="C16" s="12">
        <v>0</v>
      </c>
      <c r="D16" s="12">
        <v>0</v>
      </c>
      <c r="E16" s="12">
        <f t="shared" si="0"/>
        <v>0</v>
      </c>
      <c r="F16" s="12"/>
      <c r="G16" s="12">
        <v>174997.97999999998</v>
      </c>
      <c r="H16" s="12">
        <v>174997.97999999998</v>
      </c>
      <c r="I16" s="12">
        <f t="shared" si="1"/>
        <v>0</v>
      </c>
    </row>
    <row r="17" spans="1:9" ht="12.75" customHeight="1" x14ac:dyDescent="0.25">
      <c r="A17" s="9" t="s">
        <v>48</v>
      </c>
      <c r="C17" s="12">
        <v>0</v>
      </c>
      <c r="D17" s="12">
        <v>0</v>
      </c>
      <c r="E17" s="12">
        <f t="shared" si="0"/>
        <v>0</v>
      </c>
      <c r="F17" s="12"/>
      <c r="G17" s="12">
        <v>43000</v>
      </c>
      <c r="H17" s="12">
        <v>43000</v>
      </c>
      <c r="I17" s="12">
        <f t="shared" si="1"/>
        <v>0</v>
      </c>
    </row>
    <row r="18" spans="1:9" ht="12.75" customHeight="1" x14ac:dyDescent="0.25">
      <c r="A18" s="9" t="s">
        <v>49</v>
      </c>
      <c r="C18" s="12">
        <v>0</v>
      </c>
      <c r="D18" s="12">
        <v>0</v>
      </c>
      <c r="E18" s="12">
        <f t="shared" si="0"/>
        <v>0</v>
      </c>
      <c r="F18" s="12"/>
      <c r="G18" s="12">
        <v>3250</v>
      </c>
      <c r="H18" s="12">
        <v>9750</v>
      </c>
      <c r="I18" s="12">
        <f t="shared" si="1"/>
        <v>-6500</v>
      </c>
    </row>
    <row r="19" spans="1:9" ht="12.75" customHeight="1" x14ac:dyDescent="0.25">
      <c r="A19" s="9" t="s">
        <v>100</v>
      </c>
      <c r="C19" s="12">
        <v>0</v>
      </c>
      <c r="D19" s="12">
        <v>0</v>
      </c>
      <c r="E19" s="12">
        <f t="shared" si="0"/>
        <v>0</v>
      </c>
      <c r="F19" s="12"/>
      <c r="G19" s="12">
        <v>185000</v>
      </c>
      <c r="H19" s="12">
        <v>0</v>
      </c>
      <c r="I19" s="12">
        <f t="shared" si="1"/>
        <v>185000</v>
      </c>
    </row>
    <row r="20" spans="1:9" ht="12.75" customHeight="1" x14ac:dyDescent="0.25">
      <c r="A20" s="9" t="s">
        <v>15</v>
      </c>
      <c r="C20" s="12">
        <v>52000</v>
      </c>
      <c r="D20" s="12">
        <v>69500</v>
      </c>
      <c r="E20" s="12">
        <f t="shared" si="0"/>
        <v>-17500</v>
      </c>
      <c r="F20" s="12"/>
      <c r="G20" s="12">
        <v>69500</v>
      </c>
      <c r="H20" s="12">
        <v>69500</v>
      </c>
      <c r="I20" s="12">
        <f t="shared" si="1"/>
        <v>0</v>
      </c>
    </row>
    <row r="21" spans="1:9" ht="12.75" customHeight="1" x14ac:dyDescent="0.25">
      <c r="A21" s="9" t="s">
        <v>14</v>
      </c>
      <c r="C21" s="12">
        <v>20000</v>
      </c>
      <c r="D21" s="12">
        <v>30000</v>
      </c>
      <c r="E21" s="12">
        <f t="shared" si="0"/>
        <v>-10000</v>
      </c>
      <c r="F21" s="12"/>
      <c r="G21" s="12">
        <v>60000</v>
      </c>
      <c r="H21" s="12">
        <v>60000</v>
      </c>
      <c r="I21" s="12">
        <f t="shared" si="1"/>
        <v>0</v>
      </c>
    </row>
    <row r="22" spans="1:9" ht="12.75" customHeight="1" x14ac:dyDescent="0.25">
      <c r="A22" s="9" t="s">
        <v>97</v>
      </c>
      <c r="C22" s="12">
        <v>0</v>
      </c>
      <c r="D22" s="12">
        <v>0</v>
      </c>
      <c r="E22" s="12">
        <f t="shared" si="0"/>
        <v>0</v>
      </c>
      <c r="F22" s="12"/>
      <c r="G22" s="12">
        <v>207070</v>
      </c>
      <c r="H22" s="12">
        <v>150000</v>
      </c>
      <c r="I22" s="12">
        <f t="shared" si="1"/>
        <v>57070</v>
      </c>
    </row>
    <row r="23" spans="1:9" ht="12.75" customHeight="1" x14ac:dyDescent="0.25">
      <c r="A23" s="9" t="s">
        <v>98</v>
      </c>
      <c r="C23" s="12">
        <v>30000</v>
      </c>
      <c r="D23" s="12">
        <v>0</v>
      </c>
      <c r="E23" s="12">
        <f t="shared" si="0"/>
        <v>30000</v>
      </c>
      <c r="F23" s="12"/>
      <c r="G23" s="12">
        <v>59000</v>
      </c>
      <c r="H23" s="12">
        <v>0</v>
      </c>
      <c r="I23" s="12">
        <f t="shared" si="1"/>
        <v>59000</v>
      </c>
    </row>
    <row r="24" spans="1:9" ht="12.75" customHeight="1" x14ac:dyDescent="0.25">
      <c r="A24" s="9" t="s">
        <v>3</v>
      </c>
      <c r="C24" s="12">
        <v>4500</v>
      </c>
      <c r="D24" s="12">
        <v>3000</v>
      </c>
      <c r="E24" s="12">
        <f t="shared" si="0"/>
        <v>1500</v>
      </c>
      <c r="F24" s="12"/>
      <c r="G24" s="12">
        <v>12750</v>
      </c>
      <c r="H24" s="12">
        <v>10500</v>
      </c>
      <c r="I24" s="12">
        <f t="shared" si="1"/>
        <v>2250</v>
      </c>
    </row>
    <row r="25" spans="1:9" ht="12.75" customHeight="1" x14ac:dyDescent="0.25">
      <c r="A25" s="9" t="s">
        <v>4</v>
      </c>
      <c r="C25" s="12">
        <v>0</v>
      </c>
      <c r="D25" s="12">
        <v>0</v>
      </c>
      <c r="E25" s="12">
        <f t="shared" si="0"/>
        <v>0</v>
      </c>
      <c r="F25" s="12"/>
      <c r="G25" s="12">
        <v>32550</v>
      </c>
      <c r="H25" s="12">
        <v>32550</v>
      </c>
      <c r="I25" s="12">
        <f t="shared" si="1"/>
        <v>0</v>
      </c>
    </row>
    <row r="26" spans="1:9" ht="12.75" customHeight="1" x14ac:dyDescent="0.25">
      <c r="A26" s="9" t="s">
        <v>10</v>
      </c>
      <c r="C26" s="12">
        <v>125832</v>
      </c>
      <c r="D26" s="12">
        <v>195832</v>
      </c>
      <c r="E26" s="12">
        <f t="shared" si="0"/>
        <v>-70000</v>
      </c>
      <c r="F26" s="12"/>
      <c r="G26" s="12">
        <v>605836.5</v>
      </c>
      <c r="H26" s="12">
        <v>534555.5</v>
      </c>
      <c r="I26" s="12">
        <f t="shared" si="1"/>
        <v>71281</v>
      </c>
    </row>
    <row r="27" spans="1:9" ht="12.75" customHeight="1" x14ac:dyDescent="0.25">
      <c r="A27" s="9" t="s">
        <v>33</v>
      </c>
      <c r="C27" s="12">
        <v>0</v>
      </c>
      <c r="D27" s="12">
        <v>0</v>
      </c>
      <c r="E27" s="12">
        <f t="shared" si="0"/>
        <v>0</v>
      </c>
      <c r="F27" s="12"/>
      <c r="G27" s="12">
        <v>0</v>
      </c>
      <c r="H27" s="12">
        <v>30000</v>
      </c>
      <c r="I27" s="12">
        <f t="shared" si="1"/>
        <v>-30000</v>
      </c>
    </row>
    <row r="28" spans="1:9" ht="12.75" customHeight="1" x14ac:dyDescent="0.25">
      <c r="A28" s="9" t="s">
        <v>5</v>
      </c>
      <c r="C28" s="12">
        <v>29000</v>
      </c>
      <c r="D28" s="12">
        <v>29000</v>
      </c>
      <c r="E28" s="12">
        <f t="shared" si="0"/>
        <v>0</v>
      </c>
      <c r="F28" s="12"/>
      <c r="G28" s="12">
        <v>101500</v>
      </c>
      <c r="H28" s="12">
        <v>101500</v>
      </c>
      <c r="I28" s="12">
        <f t="shared" si="1"/>
        <v>0</v>
      </c>
    </row>
    <row r="29" spans="1:9" ht="12.75" customHeight="1" x14ac:dyDescent="0.25">
      <c r="A29" s="9" t="s">
        <v>34</v>
      </c>
      <c r="C29" s="12">
        <v>14500</v>
      </c>
      <c r="D29" s="12">
        <v>14500</v>
      </c>
      <c r="E29" s="12">
        <f t="shared" si="0"/>
        <v>0</v>
      </c>
      <c r="F29" s="12"/>
      <c r="G29" s="12">
        <v>58000</v>
      </c>
      <c r="H29" s="12">
        <v>58000</v>
      </c>
      <c r="I29" s="12">
        <f t="shared" si="1"/>
        <v>0</v>
      </c>
    </row>
    <row r="30" spans="1:9" ht="12.75" customHeight="1" x14ac:dyDescent="0.25">
      <c r="A30" s="9" t="s">
        <v>107</v>
      </c>
      <c r="C30" s="12">
        <v>0</v>
      </c>
      <c r="D30" s="12">
        <v>0</v>
      </c>
      <c r="E30" s="12">
        <f t="shared" si="0"/>
        <v>0</v>
      </c>
      <c r="F30" s="12"/>
      <c r="G30" s="12">
        <v>100000</v>
      </c>
      <c r="H30" s="12">
        <v>200000</v>
      </c>
      <c r="I30" s="12">
        <f t="shared" si="1"/>
        <v>-100000</v>
      </c>
    </row>
    <row r="31" spans="1:9" ht="12.75" customHeight="1" x14ac:dyDescent="0.25">
      <c r="A31" s="9" t="s">
        <v>106</v>
      </c>
      <c r="C31" s="12">
        <v>0</v>
      </c>
      <c r="D31" s="12">
        <v>0</v>
      </c>
      <c r="E31" s="12">
        <f t="shared" si="0"/>
        <v>0</v>
      </c>
      <c r="F31" s="12"/>
      <c r="G31" s="12">
        <v>0</v>
      </c>
      <c r="H31" s="12">
        <v>0</v>
      </c>
      <c r="I31" s="12">
        <f t="shared" si="1"/>
        <v>0</v>
      </c>
    </row>
    <row r="32" spans="1:9" ht="12.75" customHeight="1" x14ac:dyDescent="0.25">
      <c r="A32" s="9" t="s">
        <v>105</v>
      </c>
      <c r="C32" s="12">
        <v>0</v>
      </c>
      <c r="D32" s="12">
        <v>0</v>
      </c>
      <c r="E32" s="12">
        <f t="shared" si="0"/>
        <v>0</v>
      </c>
      <c r="F32" s="12"/>
      <c r="G32" s="12">
        <v>0</v>
      </c>
      <c r="H32" s="12">
        <v>0</v>
      </c>
      <c r="I32" s="12">
        <f t="shared" si="1"/>
        <v>0</v>
      </c>
    </row>
    <row r="33" spans="1:9" ht="12.75" customHeight="1" x14ac:dyDescent="0.25">
      <c r="A33" s="9" t="s">
        <v>108</v>
      </c>
      <c r="C33" s="12">
        <v>0</v>
      </c>
      <c r="D33" s="12">
        <v>0</v>
      </c>
      <c r="E33" s="12">
        <f t="shared" si="0"/>
        <v>0</v>
      </c>
      <c r="F33" s="12"/>
      <c r="G33" s="12">
        <v>0</v>
      </c>
      <c r="H33" s="12">
        <v>0</v>
      </c>
      <c r="I33" s="12">
        <f t="shared" si="1"/>
        <v>0</v>
      </c>
    </row>
    <row r="34" spans="1:9" ht="12.75" customHeight="1" x14ac:dyDescent="0.25">
      <c r="A34" s="9" t="s">
        <v>109</v>
      </c>
      <c r="C34" s="12">
        <v>0</v>
      </c>
      <c r="D34" s="12">
        <v>0</v>
      </c>
      <c r="E34" s="12">
        <f t="shared" si="0"/>
        <v>0</v>
      </c>
      <c r="F34" s="12"/>
      <c r="G34" s="12">
        <v>0</v>
      </c>
      <c r="H34" s="12">
        <v>0</v>
      </c>
      <c r="I34" s="12">
        <f t="shared" si="1"/>
        <v>0</v>
      </c>
    </row>
    <row r="35" spans="1:9" ht="12.75" customHeight="1" x14ac:dyDescent="0.25">
      <c r="A35" s="9" t="s">
        <v>99</v>
      </c>
      <c r="C35" s="12">
        <v>0</v>
      </c>
      <c r="D35" s="12">
        <v>0</v>
      </c>
      <c r="E35" s="12">
        <f t="shared" si="0"/>
        <v>0</v>
      </c>
      <c r="F35" s="12"/>
      <c r="G35" s="12">
        <v>25000</v>
      </c>
      <c r="H35" s="12">
        <v>0</v>
      </c>
      <c r="I35" s="12">
        <f t="shared" si="1"/>
        <v>25000</v>
      </c>
    </row>
    <row r="36" spans="1:9" ht="12.75" customHeight="1" x14ac:dyDescent="0.25">
      <c r="A36" s="9" t="s">
        <v>6</v>
      </c>
      <c r="C36" s="12">
        <v>5700</v>
      </c>
      <c r="D36" s="12">
        <v>5700</v>
      </c>
      <c r="E36" s="12">
        <f t="shared" si="0"/>
        <v>0</v>
      </c>
      <c r="F36" s="12"/>
      <c r="G36" s="12">
        <v>31950</v>
      </c>
      <c r="H36" s="12">
        <v>31950</v>
      </c>
      <c r="I36" s="12">
        <f t="shared" si="1"/>
        <v>0</v>
      </c>
    </row>
    <row r="37" spans="1:9" ht="12.75" customHeight="1" x14ac:dyDescent="0.25">
      <c r="A37" s="9" t="s">
        <v>89</v>
      </c>
      <c r="C37" s="12">
        <v>5700</v>
      </c>
      <c r="D37" s="12">
        <v>1762.5</v>
      </c>
      <c r="E37" s="12">
        <f t="shared" si="0"/>
        <v>3937.5</v>
      </c>
      <c r="F37" s="12"/>
      <c r="G37" s="12">
        <v>5700</v>
      </c>
      <c r="H37" s="12">
        <v>1762.5</v>
      </c>
      <c r="I37" s="12">
        <f t="shared" si="1"/>
        <v>3937.5</v>
      </c>
    </row>
    <row r="38" spans="1:9" ht="12.75" customHeight="1" x14ac:dyDescent="0.25">
      <c r="A38" s="9" t="s">
        <v>12</v>
      </c>
      <c r="C38" s="12">
        <v>0</v>
      </c>
      <c r="D38" s="12">
        <v>0</v>
      </c>
      <c r="E38" s="12">
        <f t="shared" si="0"/>
        <v>0</v>
      </c>
      <c r="F38" s="12"/>
      <c r="G38" s="12">
        <v>95790</v>
      </c>
      <c r="H38" s="12">
        <v>95790</v>
      </c>
      <c r="I38" s="12">
        <f t="shared" si="1"/>
        <v>0</v>
      </c>
    </row>
    <row r="39" spans="1:9" ht="12.75" customHeight="1" x14ac:dyDescent="0.25">
      <c r="A39" s="9" t="s">
        <v>7</v>
      </c>
      <c r="C39" s="12">
        <v>0</v>
      </c>
      <c r="D39" s="12">
        <v>0</v>
      </c>
      <c r="E39" s="12">
        <f t="shared" si="0"/>
        <v>0</v>
      </c>
      <c r="F39" s="12"/>
      <c r="G39" s="12">
        <v>22182.36</v>
      </c>
      <c r="H39" s="12">
        <v>22182.36</v>
      </c>
      <c r="I39" s="12">
        <f t="shared" si="1"/>
        <v>0</v>
      </c>
    </row>
    <row r="40" spans="1:9" ht="12.75" customHeight="1" x14ac:dyDescent="0.25">
      <c r="A40" s="9" t="s">
        <v>35</v>
      </c>
      <c r="C40" s="12">
        <v>24777.599999999999</v>
      </c>
      <c r="D40" s="12">
        <v>24777.599999999999</v>
      </c>
      <c r="E40" s="12">
        <f t="shared" si="0"/>
        <v>0</v>
      </c>
      <c r="F40" s="12"/>
      <c r="G40" s="12">
        <v>173443.20000000001</v>
      </c>
      <c r="H40" s="12">
        <v>173443.20000000001</v>
      </c>
      <c r="I40" s="12">
        <f t="shared" si="1"/>
        <v>0</v>
      </c>
    </row>
    <row r="41" spans="1:9" ht="12.75" customHeight="1" x14ac:dyDescent="0.25">
      <c r="A41" s="9" t="s">
        <v>36</v>
      </c>
      <c r="C41" s="12">
        <v>24777.599999999999</v>
      </c>
      <c r="D41" s="12">
        <v>49555.199999999997</v>
      </c>
      <c r="E41" s="12">
        <f t="shared" si="0"/>
        <v>-24777.599999999999</v>
      </c>
      <c r="F41" s="12"/>
      <c r="G41" s="12">
        <v>123888</v>
      </c>
      <c r="H41" s="12">
        <v>123888</v>
      </c>
      <c r="I41" s="12">
        <f t="shared" si="1"/>
        <v>0</v>
      </c>
    </row>
    <row r="42" spans="1:9" ht="12.75" customHeight="1" x14ac:dyDescent="0.25">
      <c r="A42" s="9" t="s">
        <v>55</v>
      </c>
      <c r="C42" s="12">
        <v>103175.5</v>
      </c>
      <c r="D42" s="12">
        <v>123384</v>
      </c>
      <c r="E42" s="12">
        <f t="shared" si="0"/>
        <v>-20208.5</v>
      </c>
      <c r="F42" s="12"/>
      <c r="G42" s="12">
        <v>317142.25</v>
      </c>
      <c r="H42" s="12">
        <v>294490.25</v>
      </c>
      <c r="I42" s="12">
        <f t="shared" si="1"/>
        <v>22652</v>
      </c>
    </row>
    <row r="43" spans="1:9" ht="12.75" customHeight="1" x14ac:dyDescent="0.25">
      <c r="A43" s="9" t="s">
        <v>54</v>
      </c>
      <c r="C43" s="12">
        <v>0</v>
      </c>
      <c r="D43" s="12">
        <v>0</v>
      </c>
      <c r="E43" s="12">
        <f t="shared" si="0"/>
        <v>0</v>
      </c>
      <c r="F43" s="12"/>
      <c r="G43" s="12">
        <v>176170</v>
      </c>
      <c r="H43" s="12">
        <v>159000</v>
      </c>
      <c r="I43" s="12">
        <f t="shared" si="1"/>
        <v>17170</v>
      </c>
    </row>
    <row r="44" spans="1:9" ht="12.75" customHeight="1" x14ac:dyDescent="0.25">
      <c r="A44" s="9" t="s">
        <v>50</v>
      </c>
      <c r="C44" s="12">
        <v>17000</v>
      </c>
      <c r="D44" s="12">
        <v>21000</v>
      </c>
      <c r="E44" s="12">
        <f t="shared" si="0"/>
        <v>-4000</v>
      </c>
      <c r="F44" s="12"/>
      <c r="G44" s="12">
        <v>21000</v>
      </c>
      <c r="H44" s="12">
        <v>21000</v>
      </c>
      <c r="I44" s="12">
        <f t="shared" si="1"/>
        <v>0</v>
      </c>
    </row>
    <row r="45" spans="1:9" ht="12.75" customHeight="1" x14ac:dyDescent="0.25">
      <c r="A45" s="9" t="s">
        <v>51</v>
      </c>
      <c r="C45" s="12">
        <v>0</v>
      </c>
      <c r="D45" s="12">
        <v>0</v>
      </c>
      <c r="E45" s="12">
        <f t="shared" ref="E45:E46" si="2">+C45-D45</f>
        <v>0</v>
      </c>
      <c r="F45" s="12"/>
      <c r="G45" s="12">
        <v>3000</v>
      </c>
      <c r="H45" s="12">
        <v>9000</v>
      </c>
      <c r="I45" s="12">
        <f t="shared" ref="I45:I46" si="3">+G45-H45</f>
        <v>-6000</v>
      </c>
    </row>
    <row r="46" spans="1:9" ht="12.75" customHeight="1" x14ac:dyDescent="0.25">
      <c r="A46" s="9" t="s">
        <v>126</v>
      </c>
      <c r="C46" s="12">
        <v>0</v>
      </c>
      <c r="D46" s="12">
        <v>12000</v>
      </c>
      <c r="E46" s="12">
        <f t="shared" si="2"/>
        <v>-12000</v>
      </c>
      <c r="F46" s="12"/>
      <c r="G46" s="12">
        <v>0</v>
      </c>
      <c r="H46" s="12">
        <v>21000</v>
      </c>
      <c r="I46" s="12">
        <f t="shared" si="3"/>
        <v>-21000</v>
      </c>
    </row>
    <row r="47" spans="1:9" ht="12.75" customHeight="1" x14ac:dyDescent="0.25">
      <c r="A47" s="9" t="s">
        <v>127</v>
      </c>
      <c r="C47" s="12">
        <v>0</v>
      </c>
      <c r="D47" s="12">
        <v>0</v>
      </c>
      <c r="E47" s="12">
        <f t="shared" si="0"/>
        <v>0</v>
      </c>
      <c r="F47" s="12"/>
      <c r="G47" s="12">
        <v>0</v>
      </c>
      <c r="H47" s="12">
        <v>6000</v>
      </c>
      <c r="I47" s="12">
        <f t="shared" si="1"/>
        <v>-6000</v>
      </c>
    </row>
    <row r="48" spans="1:9" ht="12.75" customHeight="1" x14ac:dyDescent="0.25">
      <c r="C48" s="12"/>
      <c r="D48" s="12"/>
      <c r="E48" s="12"/>
      <c r="F48" s="12"/>
      <c r="G48" s="12"/>
      <c r="H48" s="12"/>
      <c r="I48" s="12"/>
    </row>
    <row r="49" spans="1:9" ht="12.75" customHeight="1" x14ac:dyDescent="0.25">
      <c r="A49" s="43" t="s">
        <v>94</v>
      </c>
      <c r="B49" s="43"/>
      <c r="C49" s="45">
        <f>SUM(C4:C47)</f>
        <v>619597.1</v>
      </c>
      <c r="D49" s="45">
        <f>SUM(D4:D47)</f>
        <v>742645.7</v>
      </c>
      <c r="E49" s="45">
        <f>SUM(E4:E47)</f>
        <v>-123048.6</v>
      </c>
      <c r="F49" s="45"/>
      <c r="G49" s="45">
        <f>SUM(G4:G47)</f>
        <v>3470411.94</v>
      </c>
      <c r="H49" s="45">
        <f>SUM(H4:H47)</f>
        <v>3174551.44</v>
      </c>
      <c r="I49" s="45">
        <f>SUM(I4:I47)</f>
        <v>295860.5</v>
      </c>
    </row>
    <row r="50" spans="1:9" ht="12.75" customHeight="1" x14ac:dyDescent="0.25">
      <c r="G50" s="12">
        <v>100000</v>
      </c>
      <c r="H50" s="12">
        <v>420000</v>
      </c>
      <c r="I50" s="12">
        <f>+G50-H50</f>
        <v>-320000</v>
      </c>
    </row>
    <row r="51" spans="1:9" ht="12.75" customHeight="1" x14ac:dyDescent="0.25">
      <c r="G51" s="45">
        <f>+G49+G50</f>
        <v>3570411.94</v>
      </c>
      <c r="H51" s="45">
        <f>+H49+H50</f>
        <v>3594551.44</v>
      </c>
      <c r="I51" s="12">
        <f>+I49+I50</f>
        <v>-24139.5</v>
      </c>
    </row>
    <row r="54" spans="1:9" ht="12.75" customHeight="1" x14ac:dyDescent="0.25">
      <c r="D54" s="9" t="s">
        <v>74</v>
      </c>
      <c r="E54" s="12">
        <f>+E20*-1</f>
        <v>17500</v>
      </c>
      <c r="H54" s="9" t="s">
        <v>69</v>
      </c>
      <c r="I54" s="12">
        <f>+I11*-1</f>
        <v>3000</v>
      </c>
    </row>
    <row r="55" spans="1:9" ht="12.75" customHeight="1" x14ac:dyDescent="0.25">
      <c r="D55" s="9" t="s">
        <v>74</v>
      </c>
      <c r="E55" s="12">
        <f>+E21*-1</f>
        <v>10000</v>
      </c>
      <c r="H55" s="9" t="s">
        <v>71</v>
      </c>
      <c r="I55" s="12">
        <f>+I18*-1</f>
        <v>6500</v>
      </c>
    </row>
    <row r="56" spans="1:9" ht="12.75" customHeight="1" x14ac:dyDescent="0.25">
      <c r="D56" s="9" t="s">
        <v>115</v>
      </c>
      <c r="E56" s="12">
        <f>(E26-I26)*-1</f>
        <v>141281</v>
      </c>
      <c r="H56" s="9" t="s">
        <v>71</v>
      </c>
      <c r="I56" s="12">
        <f>+I19*-1</f>
        <v>-185000</v>
      </c>
    </row>
    <row r="57" spans="1:9" ht="12.75" customHeight="1" x14ac:dyDescent="0.25">
      <c r="D57" s="9" t="s">
        <v>82</v>
      </c>
      <c r="E57" s="12">
        <f>+E41*-1</f>
        <v>24777.599999999999</v>
      </c>
      <c r="H57" s="9" t="s">
        <v>116</v>
      </c>
      <c r="I57" s="12">
        <f>+I43*-1</f>
        <v>-17170</v>
      </c>
    </row>
    <row r="58" spans="1:9" ht="12.75" customHeight="1" x14ac:dyDescent="0.25">
      <c r="D58" s="9" t="s">
        <v>116</v>
      </c>
      <c r="E58" s="12">
        <f>(E42-I42)*-1</f>
        <v>42860.5</v>
      </c>
      <c r="H58" s="9" t="s">
        <v>116</v>
      </c>
      <c r="I58" s="12">
        <f>+I47*-1</f>
        <v>6000</v>
      </c>
    </row>
    <row r="59" spans="1:9" ht="12.75" customHeight="1" x14ac:dyDescent="0.25">
      <c r="D59" s="48" t="s">
        <v>96</v>
      </c>
      <c r="E59" s="47">
        <f>SUM(E54:E58)</f>
        <v>236419.1</v>
      </c>
      <c r="H59" s="48" t="s">
        <v>96</v>
      </c>
      <c r="I59" s="47">
        <f>SUM(I54:I58)</f>
        <v>-186670</v>
      </c>
    </row>
    <row r="60" spans="1:9" ht="12.75" customHeight="1" x14ac:dyDescent="0.25">
      <c r="E60" s="12"/>
      <c r="I60" s="12"/>
    </row>
    <row r="61" spans="1:9" ht="12.75" customHeight="1" x14ac:dyDescent="0.25">
      <c r="D61" s="9" t="s">
        <v>114</v>
      </c>
      <c r="E61" s="45">
        <f>+E49+E59</f>
        <v>113370.5</v>
      </c>
      <c r="H61" s="9" t="s">
        <v>114</v>
      </c>
      <c r="I61" s="45">
        <f>+I49+I59</f>
        <v>109190.5</v>
      </c>
    </row>
  </sheetData>
  <mergeCells count="2">
    <mergeCell ref="C1:E1"/>
    <mergeCell ref="G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26AB-F2FE-4782-81F1-87F385C091A8}">
  <dimension ref="A1:I63"/>
  <sheetViews>
    <sheetView workbookViewId="0">
      <selection activeCell="H50" sqref="H50"/>
    </sheetView>
  </sheetViews>
  <sheetFormatPr defaultRowHeight="12.75" customHeight="1" x14ac:dyDescent="0.25"/>
  <cols>
    <col min="1" max="1" width="69.42578125" style="9" customWidth="1"/>
    <col min="2" max="2" width="2.7109375" style="9" customWidth="1"/>
    <col min="3" max="5" width="12.7109375" style="9" customWidth="1"/>
    <col min="6" max="6" width="2.7109375" style="9" customWidth="1"/>
    <col min="7" max="9" width="12.7109375" style="9" customWidth="1"/>
    <col min="10" max="10" width="2.7109375" style="9" customWidth="1"/>
    <col min="11" max="11" width="9.140625" style="9"/>
    <col min="12" max="12" width="68.7109375" style="9" bestFit="1" customWidth="1"/>
    <col min="13" max="16384" width="9.140625" style="9"/>
  </cols>
  <sheetData>
    <row r="1" spans="1:9" ht="12.75" customHeight="1" x14ac:dyDescent="0.25">
      <c r="A1" s="43" t="s">
        <v>90</v>
      </c>
      <c r="C1" s="59" t="s">
        <v>134</v>
      </c>
      <c r="D1" s="59"/>
      <c r="E1" s="59"/>
      <c r="F1" s="44"/>
      <c r="G1" s="59" t="s">
        <v>95</v>
      </c>
      <c r="H1" s="59"/>
      <c r="I1" s="59"/>
    </row>
    <row r="2" spans="1:9" ht="12.75" customHeight="1" x14ac:dyDescent="0.25">
      <c r="A2" s="46" t="str">
        <f>"Version: "&amp;Version!C2</f>
        <v>Version: 001</v>
      </c>
      <c r="C2" s="44" t="s">
        <v>91</v>
      </c>
      <c r="D2" s="44" t="s">
        <v>92</v>
      </c>
      <c r="E2" s="44" t="s">
        <v>93</v>
      </c>
      <c r="F2" s="44"/>
      <c r="G2" s="44" t="s">
        <v>91</v>
      </c>
      <c r="H2" s="44" t="s">
        <v>92</v>
      </c>
      <c r="I2" s="44" t="s">
        <v>93</v>
      </c>
    </row>
    <row r="3" spans="1:9" ht="12.75" customHeight="1" x14ac:dyDescent="0.25">
      <c r="C3" s="44"/>
      <c r="D3" s="44"/>
      <c r="E3" s="44"/>
      <c r="F3" s="44"/>
      <c r="G3" s="44"/>
      <c r="H3" s="44"/>
      <c r="I3" s="44"/>
    </row>
    <row r="4" spans="1:9" ht="12.75" customHeight="1" x14ac:dyDescent="0.25">
      <c r="A4" s="9" t="s">
        <v>9</v>
      </c>
      <c r="C4" s="12">
        <v>0</v>
      </c>
      <c r="D4" s="12">
        <v>0</v>
      </c>
      <c r="E4" s="12">
        <f t="shared" ref="E4:E48" si="0">+C4-D4</f>
        <v>0</v>
      </c>
      <c r="F4" s="12"/>
      <c r="G4" s="12">
        <v>164879</v>
      </c>
      <c r="H4" s="12">
        <v>164879</v>
      </c>
      <c r="I4" s="12">
        <f t="shared" ref="I4:I48" si="1">+G4-H4</f>
        <v>0</v>
      </c>
    </row>
    <row r="5" spans="1:9" ht="12.75" customHeight="1" x14ac:dyDescent="0.25">
      <c r="A5" s="9" t="s">
        <v>52</v>
      </c>
      <c r="C5" s="12">
        <v>145000</v>
      </c>
      <c r="D5" s="12">
        <v>145000</v>
      </c>
      <c r="E5" s="12">
        <f t="shared" si="0"/>
        <v>0</v>
      </c>
      <c r="F5" s="12"/>
      <c r="G5" s="12">
        <v>154987</v>
      </c>
      <c r="H5" s="12">
        <v>154987</v>
      </c>
      <c r="I5" s="12">
        <f t="shared" si="1"/>
        <v>0</v>
      </c>
    </row>
    <row r="6" spans="1:9" ht="12.75" customHeight="1" x14ac:dyDescent="0.25">
      <c r="A6" s="9" t="s">
        <v>16</v>
      </c>
      <c r="C6" s="12">
        <v>0</v>
      </c>
      <c r="D6" s="12">
        <v>0</v>
      </c>
      <c r="E6" s="12">
        <f t="shared" si="0"/>
        <v>0</v>
      </c>
      <c r="F6" s="12"/>
      <c r="G6" s="12">
        <v>6195</v>
      </c>
      <c r="H6" s="12">
        <v>6195</v>
      </c>
      <c r="I6" s="12">
        <f t="shared" si="1"/>
        <v>0</v>
      </c>
    </row>
    <row r="7" spans="1:9" ht="12.75" customHeight="1" x14ac:dyDescent="0.25">
      <c r="A7" s="9" t="s">
        <v>130</v>
      </c>
      <c r="C7" s="12">
        <v>23000</v>
      </c>
      <c r="D7" s="12">
        <v>0</v>
      </c>
      <c r="E7" s="12">
        <f t="shared" si="0"/>
        <v>23000</v>
      </c>
      <c r="F7" s="12"/>
      <c r="G7" s="12">
        <v>23000</v>
      </c>
      <c r="H7" s="12">
        <v>0</v>
      </c>
      <c r="I7" s="12">
        <f t="shared" ref="I7" si="2">+G7-H7</f>
        <v>23000</v>
      </c>
    </row>
    <row r="8" spans="1:9" ht="12.75" customHeight="1" x14ac:dyDescent="0.25">
      <c r="A8" s="9" t="s">
        <v>1</v>
      </c>
      <c r="C8" s="12">
        <v>0</v>
      </c>
      <c r="D8" s="12">
        <v>0</v>
      </c>
      <c r="E8" s="12">
        <f t="shared" si="0"/>
        <v>0</v>
      </c>
      <c r="F8" s="12"/>
      <c r="G8" s="12">
        <v>31079.4</v>
      </c>
      <c r="H8" s="12">
        <v>31079.4</v>
      </c>
      <c r="I8" s="12">
        <f t="shared" si="1"/>
        <v>0</v>
      </c>
    </row>
    <row r="9" spans="1:9" ht="12.75" customHeight="1" x14ac:dyDescent="0.25">
      <c r="A9" s="9" t="s">
        <v>2</v>
      </c>
      <c r="C9" s="12">
        <v>0</v>
      </c>
      <c r="D9" s="12">
        <v>0</v>
      </c>
      <c r="E9" s="12">
        <f t="shared" si="0"/>
        <v>0</v>
      </c>
      <c r="F9" s="12"/>
      <c r="G9" s="12">
        <v>124906.25</v>
      </c>
      <c r="H9" s="12">
        <v>124906.25</v>
      </c>
      <c r="I9" s="12">
        <f t="shared" si="1"/>
        <v>0</v>
      </c>
    </row>
    <row r="10" spans="1:9" ht="12.75" customHeight="1" x14ac:dyDescent="0.25">
      <c r="A10" s="9" t="s">
        <v>88</v>
      </c>
      <c r="C10" s="12">
        <v>1930</v>
      </c>
      <c r="D10" s="12">
        <v>1930</v>
      </c>
      <c r="E10" s="12">
        <f t="shared" si="0"/>
        <v>0</v>
      </c>
      <c r="F10" s="12"/>
      <c r="G10" s="12">
        <v>9650</v>
      </c>
      <c r="H10" s="12">
        <v>9650</v>
      </c>
      <c r="I10" s="12">
        <f t="shared" ref="I10" si="3">+G10-H10</f>
        <v>0</v>
      </c>
    </row>
    <row r="11" spans="1:9" ht="12.75" customHeight="1" x14ac:dyDescent="0.25">
      <c r="A11" s="9" t="s">
        <v>131</v>
      </c>
      <c r="C11" s="12">
        <v>0</v>
      </c>
      <c r="D11" s="12">
        <v>0</v>
      </c>
      <c r="E11" s="12">
        <f t="shared" si="0"/>
        <v>0</v>
      </c>
      <c r="F11" s="12"/>
      <c r="G11" s="12">
        <v>0</v>
      </c>
      <c r="H11" s="12">
        <v>0</v>
      </c>
      <c r="I11" s="12">
        <f t="shared" si="1"/>
        <v>0</v>
      </c>
    </row>
    <row r="12" spans="1:9" ht="12.75" customHeight="1" x14ac:dyDescent="0.25">
      <c r="A12" s="9" t="s">
        <v>11</v>
      </c>
      <c r="C12" s="12">
        <v>0</v>
      </c>
      <c r="D12" s="12">
        <v>0</v>
      </c>
      <c r="E12" s="12">
        <f t="shared" si="0"/>
        <v>0</v>
      </c>
      <c r="F12" s="12"/>
      <c r="G12" s="12">
        <v>15695</v>
      </c>
      <c r="H12" s="12">
        <v>15695</v>
      </c>
      <c r="I12" s="12">
        <f t="shared" si="1"/>
        <v>0</v>
      </c>
    </row>
    <row r="13" spans="1:9" ht="12.75" customHeight="1" x14ac:dyDescent="0.25">
      <c r="A13" s="9" t="s">
        <v>53</v>
      </c>
      <c r="C13" s="12">
        <v>8000</v>
      </c>
      <c r="D13" s="12">
        <v>8000</v>
      </c>
      <c r="E13" s="12">
        <f t="shared" si="0"/>
        <v>0</v>
      </c>
      <c r="F13" s="12"/>
      <c r="G13" s="12">
        <v>53000</v>
      </c>
      <c r="H13" s="12">
        <v>53000</v>
      </c>
      <c r="I13" s="12">
        <f t="shared" si="1"/>
        <v>0</v>
      </c>
    </row>
    <row r="14" spans="1:9" ht="12.75" customHeight="1" x14ac:dyDescent="0.25">
      <c r="A14" s="9" t="s">
        <v>45</v>
      </c>
      <c r="C14" s="12">
        <v>0</v>
      </c>
      <c r="D14" s="12">
        <v>0</v>
      </c>
      <c r="E14" s="12">
        <f t="shared" si="0"/>
        <v>0</v>
      </c>
      <c r="F14" s="12"/>
      <c r="G14" s="12">
        <v>82000</v>
      </c>
      <c r="H14" s="12">
        <v>82000</v>
      </c>
      <c r="I14" s="12">
        <f t="shared" si="1"/>
        <v>0</v>
      </c>
    </row>
    <row r="15" spans="1:9" ht="12.75" customHeight="1" x14ac:dyDescent="0.25">
      <c r="A15" s="9" t="s">
        <v>46</v>
      </c>
      <c r="C15" s="12">
        <v>12000</v>
      </c>
      <c r="D15" s="12">
        <v>12000</v>
      </c>
      <c r="E15" s="12">
        <f t="shared" si="0"/>
        <v>0</v>
      </c>
      <c r="F15" s="12"/>
      <c r="G15" s="12">
        <v>60000</v>
      </c>
      <c r="H15" s="12">
        <v>60000</v>
      </c>
      <c r="I15" s="12">
        <f t="shared" si="1"/>
        <v>0</v>
      </c>
    </row>
    <row r="16" spans="1:9" ht="12.75" customHeight="1" x14ac:dyDescent="0.25">
      <c r="A16" s="9" t="s">
        <v>13</v>
      </c>
      <c r="C16" s="12">
        <v>0</v>
      </c>
      <c r="D16" s="12">
        <v>0</v>
      </c>
      <c r="E16" s="12">
        <f t="shared" si="0"/>
        <v>0</v>
      </c>
      <c r="F16" s="12"/>
      <c r="G16" s="12">
        <v>50400</v>
      </c>
      <c r="H16" s="12">
        <v>50400</v>
      </c>
      <c r="I16" s="12">
        <f t="shared" si="1"/>
        <v>0</v>
      </c>
    </row>
    <row r="17" spans="1:9" ht="12.75" customHeight="1" x14ac:dyDescent="0.25">
      <c r="A17" s="9" t="s">
        <v>56</v>
      </c>
      <c r="C17" s="12">
        <v>2200</v>
      </c>
      <c r="D17" s="12">
        <v>2200</v>
      </c>
      <c r="E17" s="12">
        <f t="shared" si="0"/>
        <v>0</v>
      </c>
      <c r="F17" s="12"/>
      <c r="G17" s="12">
        <v>9900</v>
      </c>
      <c r="H17" s="12">
        <v>9900</v>
      </c>
      <c r="I17" s="12">
        <f t="shared" si="1"/>
        <v>0</v>
      </c>
    </row>
    <row r="18" spans="1:9" ht="12.75" customHeight="1" x14ac:dyDescent="0.25">
      <c r="A18" s="9" t="s">
        <v>47</v>
      </c>
      <c r="C18" s="12">
        <v>0</v>
      </c>
      <c r="D18" s="12">
        <v>0</v>
      </c>
      <c r="E18" s="12">
        <f t="shared" si="0"/>
        <v>0</v>
      </c>
      <c r="F18" s="12"/>
      <c r="G18" s="12">
        <v>174997.97999999998</v>
      </c>
      <c r="H18" s="12">
        <v>174997.97999999998</v>
      </c>
      <c r="I18" s="12">
        <f t="shared" si="1"/>
        <v>0</v>
      </c>
    </row>
    <row r="19" spans="1:9" ht="12.75" customHeight="1" x14ac:dyDescent="0.25">
      <c r="A19" s="9" t="s">
        <v>48</v>
      </c>
      <c r="C19" s="12">
        <v>0</v>
      </c>
      <c r="D19" s="12">
        <v>0</v>
      </c>
      <c r="E19" s="12">
        <f t="shared" si="0"/>
        <v>0</v>
      </c>
      <c r="F19" s="12"/>
      <c r="G19" s="12">
        <v>43000</v>
      </c>
      <c r="H19" s="12">
        <v>43000</v>
      </c>
      <c r="I19" s="12">
        <f t="shared" si="1"/>
        <v>0</v>
      </c>
    </row>
    <row r="20" spans="1:9" ht="12.75" customHeight="1" x14ac:dyDescent="0.25">
      <c r="A20" s="9" t="s">
        <v>49</v>
      </c>
      <c r="C20" s="12">
        <v>53417.31</v>
      </c>
      <c r="D20" s="12">
        <v>18000</v>
      </c>
      <c r="E20" s="12">
        <f t="shared" si="0"/>
        <v>35417.31</v>
      </c>
      <c r="F20" s="12"/>
      <c r="G20" s="12">
        <v>56667.31</v>
      </c>
      <c r="H20" s="12">
        <v>21250</v>
      </c>
      <c r="I20" s="12">
        <f t="shared" si="1"/>
        <v>35417.31</v>
      </c>
    </row>
    <row r="21" spans="1:9" ht="12.75" customHeight="1" x14ac:dyDescent="0.25">
      <c r="A21" s="9" t="s">
        <v>100</v>
      </c>
      <c r="C21" s="12">
        <v>0</v>
      </c>
      <c r="D21" s="12">
        <v>185000</v>
      </c>
      <c r="E21" s="47">
        <f t="shared" si="0"/>
        <v>-185000</v>
      </c>
      <c r="F21" s="12"/>
      <c r="G21" s="12">
        <v>0</v>
      </c>
      <c r="H21" s="12">
        <v>185000</v>
      </c>
      <c r="I21" s="12">
        <f t="shared" si="1"/>
        <v>-185000</v>
      </c>
    </row>
    <row r="22" spans="1:9" ht="12.75" customHeight="1" x14ac:dyDescent="0.25">
      <c r="A22" s="9" t="s">
        <v>15</v>
      </c>
      <c r="C22" s="12">
        <v>0</v>
      </c>
      <c r="D22" s="12">
        <v>0</v>
      </c>
      <c r="E22" s="12">
        <f t="shared" si="0"/>
        <v>0</v>
      </c>
      <c r="F22" s="12"/>
      <c r="G22" s="12">
        <v>69500</v>
      </c>
      <c r="H22" s="12">
        <v>69500</v>
      </c>
      <c r="I22" s="12">
        <f t="shared" si="1"/>
        <v>0</v>
      </c>
    </row>
    <row r="23" spans="1:9" ht="12.75" customHeight="1" x14ac:dyDescent="0.25">
      <c r="A23" s="9" t="s">
        <v>14</v>
      </c>
      <c r="C23" s="12">
        <v>30000</v>
      </c>
      <c r="D23" s="12">
        <v>20000</v>
      </c>
      <c r="E23" s="47">
        <f t="shared" si="0"/>
        <v>10000</v>
      </c>
      <c r="F23" s="12"/>
      <c r="G23" s="12">
        <v>70000</v>
      </c>
      <c r="H23" s="12">
        <v>60000</v>
      </c>
      <c r="I23" s="12">
        <f t="shared" si="1"/>
        <v>10000</v>
      </c>
    </row>
    <row r="24" spans="1:9" ht="12.75" customHeight="1" x14ac:dyDescent="0.25">
      <c r="A24" s="9" t="s">
        <v>97</v>
      </c>
      <c r="C24" s="12">
        <v>0</v>
      </c>
      <c r="D24" s="12">
        <v>0</v>
      </c>
      <c r="E24" s="12">
        <f t="shared" si="0"/>
        <v>0</v>
      </c>
      <c r="F24" s="12"/>
      <c r="G24" s="12">
        <v>207070</v>
      </c>
      <c r="H24" s="12">
        <v>207070</v>
      </c>
      <c r="I24" s="12">
        <f t="shared" si="1"/>
        <v>0</v>
      </c>
    </row>
    <row r="25" spans="1:9" ht="12.75" customHeight="1" x14ac:dyDescent="0.25">
      <c r="A25" s="9" t="s">
        <v>98</v>
      </c>
      <c r="C25" s="12">
        <v>0</v>
      </c>
      <c r="D25" s="12">
        <v>0</v>
      </c>
      <c r="E25" s="12">
        <f t="shared" si="0"/>
        <v>0</v>
      </c>
      <c r="F25" s="12"/>
      <c r="G25" s="12">
        <v>59000</v>
      </c>
      <c r="H25" s="12">
        <v>59000</v>
      </c>
      <c r="I25" s="12">
        <f t="shared" si="1"/>
        <v>0</v>
      </c>
    </row>
    <row r="26" spans="1:9" ht="12.75" customHeight="1" x14ac:dyDescent="0.25">
      <c r="A26" s="9" t="s">
        <v>3</v>
      </c>
      <c r="C26" s="12">
        <v>0</v>
      </c>
      <c r="D26" s="12">
        <v>0</v>
      </c>
      <c r="E26" s="12">
        <f t="shared" si="0"/>
        <v>0</v>
      </c>
      <c r="F26" s="12"/>
      <c r="G26" s="12">
        <v>12750</v>
      </c>
      <c r="H26" s="12">
        <v>12750</v>
      </c>
      <c r="I26" s="12">
        <f t="shared" si="1"/>
        <v>0</v>
      </c>
    </row>
    <row r="27" spans="1:9" ht="12.75" customHeight="1" x14ac:dyDescent="0.25">
      <c r="A27" s="9" t="s">
        <v>4</v>
      </c>
      <c r="C27" s="12">
        <v>0</v>
      </c>
      <c r="D27" s="12">
        <v>0</v>
      </c>
      <c r="E27" s="12">
        <f t="shared" si="0"/>
        <v>0</v>
      </c>
      <c r="F27" s="12"/>
      <c r="G27" s="12">
        <v>32550</v>
      </c>
      <c r="H27" s="12">
        <v>32550</v>
      </c>
      <c r="I27" s="12">
        <f t="shared" si="1"/>
        <v>0</v>
      </c>
    </row>
    <row r="28" spans="1:9" ht="12.75" customHeight="1" x14ac:dyDescent="0.25">
      <c r="A28" s="9" t="s">
        <v>129</v>
      </c>
      <c r="C28" s="12">
        <v>118404</v>
      </c>
      <c r="D28" s="12">
        <v>118404</v>
      </c>
      <c r="E28" s="12">
        <f t="shared" si="0"/>
        <v>0</v>
      </c>
      <c r="F28" s="12"/>
      <c r="G28" s="12">
        <v>609920.5</v>
      </c>
      <c r="H28" s="12">
        <v>609920.5</v>
      </c>
      <c r="I28" s="12">
        <f t="shared" si="1"/>
        <v>0</v>
      </c>
    </row>
    <row r="29" spans="1:9" ht="12.75" customHeight="1" x14ac:dyDescent="0.25">
      <c r="A29" s="9" t="s">
        <v>132</v>
      </c>
      <c r="C29" s="12">
        <v>0</v>
      </c>
      <c r="D29" s="12">
        <v>0</v>
      </c>
      <c r="E29" s="12">
        <f t="shared" si="0"/>
        <v>0</v>
      </c>
      <c r="F29" s="12"/>
      <c r="G29" s="12">
        <v>0</v>
      </c>
      <c r="H29" s="12">
        <v>0</v>
      </c>
      <c r="I29" s="12"/>
    </row>
    <row r="30" spans="1:9" ht="12.75" customHeight="1" x14ac:dyDescent="0.25">
      <c r="A30" s="9" t="s">
        <v>5</v>
      </c>
      <c r="C30" s="12">
        <v>0</v>
      </c>
      <c r="D30" s="12">
        <v>0</v>
      </c>
      <c r="E30" s="12">
        <f t="shared" si="0"/>
        <v>0</v>
      </c>
      <c r="F30" s="12"/>
      <c r="G30" s="12">
        <v>101500</v>
      </c>
      <c r="H30" s="12">
        <v>101500</v>
      </c>
      <c r="I30" s="12">
        <f t="shared" si="1"/>
        <v>0</v>
      </c>
    </row>
    <row r="31" spans="1:9" ht="12.75" customHeight="1" x14ac:dyDescent="0.25">
      <c r="A31" s="9" t="s">
        <v>34</v>
      </c>
      <c r="C31" s="12">
        <v>14500</v>
      </c>
      <c r="D31" s="12">
        <v>0</v>
      </c>
      <c r="E31" s="47">
        <f t="shared" si="0"/>
        <v>14500</v>
      </c>
      <c r="F31" s="12"/>
      <c r="G31" s="12">
        <v>72500</v>
      </c>
      <c r="H31" s="12">
        <v>58000</v>
      </c>
      <c r="I31" s="12">
        <f t="shared" si="1"/>
        <v>14500</v>
      </c>
    </row>
    <row r="32" spans="1:9" ht="12.75" customHeight="1" x14ac:dyDescent="0.25">
      <c r="A32" s="9" t="s">
        <v>107</v>
      </c>
      <c r="C32" s="12">
        <v>0</v>
      </c>
      <c r="D32" s="12">
        <v>0</v>
      </c>
      <c r="E32" s="12">
        <f t="shared" si="0"/>
        <v>0</v>
      </c>
      <c r="F32" s="12"/>
      <c r="G32" s="12">
        <v>100000</v>
      </c>
      <c r="H32" s="12">
        <v>100000</v>
      </c>
      <c r="I32" s="12">
        <f t="shared" si="1"/>
        <v>0</v>
      </c>
    </row>
    <row r="33" spans="1:9" ht="12.75" customHeight="1" x14ac:dyDescent="0.25">
      <c r="A33" s="9" t="s">
        <v>106</v>
      </c>
      <c r="C33" s="12">
        <v>0</v>
      </c>
      <c r="D33" s="12">
        <v>0</v>
      </c>
      <c r="E33" s="12">
        <f t="shared" si="0"/>
        <v>0</v>
      </c>
      <c r="F33" s="12"/>
      <c r="G33" s="12">
        <v>0</v>
      </c>
      <c r="H33" s="12">
        <v>0</v>
      </c>
      <c r="I33" s="12">
        <f t="shared" si="1"/>
        <v>0</v>
      </c>
    </row>
    <row r="34" spans="1:9" ht="12.75" customHeight="1" x14ac:dyDescent="0.25">
      <c r="A34" s="9" t="s">
        <v>105</v>
      </c>
      <c r="C34" s="12">
        <v>0</v>
      </c>
      <c r="D34" s="12">
        <v>0</v>
      </c>
      <c r="E34" s="12">
        <f t="shared" si="0"/>
        <v>0</v>
      </c>
      <c r="F34" s="12"/>
      <c r="G34" s="12">
        <v>0</v>
      </c>
      <c r="H34" s="12">
        <v>0</v>
      </c>
      <c r="I34" s="12">
        <f t="shared" si="1"/>
        <v>0</v>
      </c>
    </row>
    <row r="35" spans="1:9" ht="12.75" customHeight="1" x14ac:dyDescent="0.25">
      <c r="A35" s="9" t="s">
        <v>108</v>
      </c>
      <c r="C35" s="12">
        <v>0</v>
      </c>
      <c r="D35" s="12">
        <v>0</v>
      </c>
      <c r="E35" s="12">
        <f t="shared" si="0"/>
        <v>0</v>
      </c>
      <c r="F35" s="12"/>
      <c r="G35" s="12">
        <v>0</v>
      </c>
      <c r="H35" s="12">
        <v>0</v>
      </c>
      <c r="I35" s="12">
        <f t="shared" si="1"/>
        <v>0</v>
      </c>
    </row>
    <row r="36" spans="1:9" ht="12.75" customHeight="1" x14ac:dyDescent="0.25">
      <c r="A36" s="9" t="s">
        <v>109</v>
      </c>
      <c r="C36" s="12">
        <v>0</v>
      </c>
      <c r="D36" s="12">
        <v>0</v>
      </c>
      <c r="E36" s="12">
        <f t="shared" si="0"/>
        <v>0</v>
      </c>
      <c r="F36" s="12"/>
      <c r="G36" s="12">
        <v>0</v>
      </c>
      <c r="H36" s="12">
        <v>0</v>
      </c>
      <c r="I36" s="12">
        <f t="shared" si="1"/>
        <v>0</v>
      </c>
    </row>
    <row r="37" spans="1:9" ht="12.75" customHeight="1" x14ac:dyDescent="0.25">
      <c r="A37" s="9" t="s">
        <v>99</v>
      </c>
      <c r="C37" s="12">
        <v>13000</v>
      </c>
      <c r="D37" s="12">
        <v>13000</v>
      </c>
      <c r="E37" s="12">
        <f t="shared" si="0"/>
        <v>0</v>
      </c>
      <c r="F37" s="12"/>
      <c r="G37" s="12">
        <v>25000</v>
      </c>
      <c r="H37" s="12">
        <v>25000</v>
      </c>
      <c r="I37" s="12">
        <f t="shared" si="1"/>
        <v>0</v>
      </c>
    </row>
    <row r="38" spans="1:9" ht="12.75" customHeight="1" x14ac:dyDescent="0.25">
      <c r="A38" s="9" t="s">
        <v>6</v>
      </c>
      <c r="C38" s="12">
        <v>0</v>
      </c>
      <c r="D38" s="12">
        <v>0</v>
      </c>
      <c r="E38" s="12">
        <f t="shared" si="0"/>
        <v>0</v>
      </c>
      <c r="F38" s="12"/>
      <c r="G38" s="12">
        <v>31950</v>
      </c>
      <c r="H38" s="12">
        <v>31950</v>
      </c>
      <c r="I38" s="12">
        <f t="shared" si="1"/>
        <v>0</v>
      </c>
    </row>
    <row r="39" spans="1:9" ht="12.75" customHeight="1" x14ac:dyDescent="0.25">
      <c r="A39" s="9" t="s">
        <v>89</v>
      </c>
      <c r="C39" s="12">
        <v>0</v>
      </c>
      <c r="D39" s="12">
        <v>0</v>
      </c>
      <c r="E39" s="12">
        <f t="shared" si="0"/>
        <v>0</v>
      </c>
      <c r="F39" s="12"/>
      <c r="G39" s="12">
        <v>5700</v>
      </c>
      <c r="H39" s="12">
        <v>5700</v>
      </c>
      <c r="I39" s="12">
        <f t="shared" si="1"/>
        <v>0</v>
      </c>
    </row>
    <row r="40" spans="1:9" ht="12.75" customHeight="1" x14ac:dyDescent="0.25">
      <c r="A40" s="9" t="s">
        <v>12</v>
      </c>
      <c r="C40" s="12">
        <v>0</v>
      </c>
      <c r="D40" s="12">
        <v>0</v>
      </c>
      <c r="E40" s="12">
        <f t="shared" si="0"/>
        <v>0</v>
      </c>
      <c r="F40" s="12"/>
      <c r="G40" s="12">
        <v>95790</v>
      </c>
      <c r="H40" s="12">
        <v>95790</v>
      </c>
      <c r="I40" s="12">
        <f t="shared" si="1"/>
        <v>0</v>
      </c>
    </row>
    <row r="41" spans="1:9" ht="12.75" customHeight="1" x14ac:dyDescent="0.25">
      <c r="A41" s="9" t="s">
        <v>7</v>
      </c>
      <c r="C41" s="12">
        <v>0</v>
      </c>
      <c r="D41" s="12">
        <v>0</v>
      </c>
      <c r="E41" s="12">
        <f t="shared" si="0"/>
        <v>0</v>
      </c>
      <c r="F41" s="12"/>
      <c r="G41" s="12">
        <v>22182.36</v>
      </c>
      <c r="H41" s="12">
        <v>22182.36</v>
      </c>
      <c r="I41" s="12">
        <f t="shared" si="1"/>
        <v>0</v>
      </c>
    </row>
    <row r="42" spans="1:9" ht="12.75" customHeight="1" x14ac:dyDescent="0.25">
      <c r="A42" s="9" t="s">
        <v>35</v>
      </c>
      <c r="C42" s="12">
        <v>0</v>
      </c>
      <c r="D42" s="12">
        <v>0</v>
      </c>
      <c r="E42" s="12">
        <f t="shared" si="0"/>
        <v>0</v>
      </c>
      <c r="F42" s="12"/>
      <c r="G42" s="12">
        <v>173443.20000000001</v>
      </c>
      <c r="H42" s="12">
        <v>173443.20000000001</v>
      </c>
      <c r="I42" s="12">
        <f t="shared" si="1"/>
        <v>0</v>
      </c>
    </row>
    <row r="43" spans="1:9" ht="12.75" customHeight="1" x14ac:dyDescent="0.25">
      <c r="A43" s="9" t="s">
        <v>36</v>
      </c>
      <c r="C43" s="12">
        <v>24777.599999999999</v>
      </c>
      <c r="D43" s="12">
        <v>24777.599999999999</v>
      </c>
      <c r="E43" s="12">
        <f t="shared" si="0"/>
        <v>0</v>
      </c>
      <c r="F43" s="12"/>
      <c r="G43" s="12">
        <v>123888</v>
      </c>
      <c r="H43" s="12">
        <v>123888</v>
      </c>
      <c r="I43" s="12">
        <f t="shared" si="1"/>
        <v>0</v>
      </c>
    </row>
    <row r="44" spans="1:9" ht="12.75" customHeight="1" x14ac:dyDescent="0.25">
      <c r="A44" s="9" t="s">
        <v>55</v>
      </c>
      <c r="C44" s="12">
        <v>15271</v>
      </c>
      <c r="D44" s="12">
        <v>16641</v>
      </c>
      <c r="E44" s="47">
        <f t="shared" si="0"/>
        <v>-1370</v>
      </c>
      <c r="F44" s="12"/>
      <c r="G44" s="12">
        <v>315772.25</v>
      </c>
      <c r="H44" s="12">
        <v>317142.25</v>
      </c>
      <c r="I44" s="12">
        <f t="shared" si="1"/>
        <v>-1370</v>
      </c>
    </row>
    <row r="45" spans="1:9" ht="12.75" customHeight="1" x14ac:dyDescent="0.25">
      <c r="A45" s="9" t="s">
        <v>54</v>
      </c>
      <c r="C45" s="12">
        <v>176170</v>
      </c>
      <c r="D45" s="12">
        <v>176170</v>
      </c>
      <c r="E45" s="12">
        <f t="shared" si="0"/>
        <v>0</v>
      </c>
      <c r="F45" s="12"/>
      <c r="G45" s="12">
        <v>176170</v>
      </c>
      <c r="H45" s="12">
        <v>176170</v>
      </c>
      <c r="I45" s="12">
        <f t="shared" si="1"/>
        <v>0</v>
      </c>
    </row>
    <row r="46" spans="1:9" ht="12.75" customHeight="1" x14ac:dyDescent="0.25">
      <c r="A46" s="9" t="s">
        <v>133</v>
      </c>
      <c r="C46" s="12">
        <v>0</v>
      </c>
      <c r="D46" s="12">
        <v>0</v>
      </c>
      <c r="E46" s="12">
        <f t="shared" si="0"/>
        <v>0</v>
      </c>
      <c r="F46" s="12"/>
      <c r="G46" s="12">
        <v>0</v>
      </c>
      <c r="H46" s="12">
        <v>0</v>
      </c>
      <c r="I46" s="12"/>
    </row>
    <row r="47" spans="1:9" ht="12.75" customHeight="1" x14ac:dyDescent="0.25">
      <c r="A47" s="9" t="s">
        <v>50</v>
      </c>
      <c r="C47" s="12">
        <v>4000</v>
      </c>
      <c r="D47" s="12">
        <v>4000</v>
      </c>
      <c r="E47" s="12">
        <f t="shared" si="0"/>
        <v>0</v>
      </c>
      <c r="F47" s="12"/>
      <c r="G47" s="12">
        <v>21000</v>
      </c>
      <c r="H47" s="12">
        <v>21000</v>
      </c>
      <c r="I47" s="12">
        <f t="shared" si="1"/>
        <v>0</v>
      </c>
    </row>
    <row r="48" spans="1:9" ht="12.75" customHeight="1" x14ac:dyDescent="0.25">
      <c r="A48" s="9" t="s">
        <v>51</v>
      </c>
      <c r="C48" s="12">
        <v>3000</v>
      </c>
      <c r="D48" s="12">
        <v>3000</v>
      </c>
      <c r="E48" s="12">
        <f t="shared" si="0"/>
        <v>0</v>
      </c>
      <c r="F48" s="12"/>
      <c r="G48" s="12">
        <v>3000</v>
      </c>
      <c r="H48" s="12">
        <v>3000</v>
      </c>
      <c r="I48" s="12">
        <f t="shared" si="1"/>
        <v>0</v>
      </c>
    </row>
    <row r="49" spans="1:9" ht="12.75" customHeight="1" x14ac:dyDescent="0.25">
      <c r="C49" s="12"/>
      <c r="D49" s="12"/>
      <c r="E49" s="12"/>
      <c r="F49" s="12"/>
      <c r="G49" s="12"/>
      <c r="H49" s="12"/>
      <c r="I49" s="12"/>
    </row>
    <row r="50" spans="1:9" ht="12.75" customHeight="1" x14ac:dyDescent="0.25">
      <c r="A50" s="43" t="s">
        <v>94</v>
      </c>
      <c r="B50" s="43"/>
      <c r="C50" s="45">
        <f>SUM(C4:C48)</f>
        <v>644669.90999999992</v>
      </c>
      <c r="D50" s="45">
        <f>SUM(D4:D48)</f>
        <v>748122.6</v>
      </c>
      <c r="E50" s="45">
        <f>SUM(E4:E48)</f>
        <v>-103452.69</v>
      </c>
      <c r="F50" s="45"/>
      <c r="G50" s="45">
        <f>SUM(G4:G48)</f>
        <v>3389043.25</v>
      </c>
      <c r="H50" s="45">
        <f>SUM(H4:H48)</f>
        <v>3492495.94</v>
      </c>
      <c r="I50" s="45">
        <f>SUM(I4:I48)</f>
        <v>-103452.69</v>
      </c>
    </row>
    <row r="52" spans="1:9" ht="12.75" customHeight="1" x14ac:dyDescent="0.25">
      <c r="D52" s="48" t="s">
        <v>96</v>
      </c>
      <c r="E52" s="47">
        <f>E21+E23+E31+E44+3250</f>
        <v>-158620</v>
      </c>
      <c r="H52" s="48" t="s">
        <v>96</v>
      </c>
      <c r="I52" s="47">
        <f>I21+I23+I31+I44+3250</f>
        <v>-158620</v>
      </c>
    </row>
    <row r="53" spans="1:9" ht="12.75" customHeight="1" x14ac:dyDescent="0.25">
      <c r="E53" s="12"/>
      <c r="I53" s="12"/>
    </row>
    <row r="54" spans="1:9" ht="12.75" customHeight="1" x14ac:dyDescent="0.25">
      <c r="D54" s="9" t="s">
        <v>114</v>
      </c>
      <c r="E54" s="45">
        <f>+E50-E52</f>
        <v>55167.31</v>
      </c>
      <c r="H54" s="9" t="s">
        <v>114</v>
      </c>
      <c r="I54" s="45">
        <f>+I50-I52</f>
        <v>55167.31</v>
      </c>
    </row>
    <row r="55" spans="1:9" ht="12.75" customHeight="1" x14ac:dyDescent="0.25">
      <c r="E55" s="12"/>
    </row>
    <row r="56" spans="1:9" ht="12.75" customHeight="1" x14ac:dyDescent="0.25">
      <c r="E56" s="12"/>
    </row>
    <row r="57" spans="1:9" ht="12.75" customHeight="1" x14ac:dyDescent="0.25">
      <c r="E57" s="12"/>
    </row>
    <row r="62" spans="1:9" ht="12.75" customHeight="1" x14ac:dyDescent="0.25">
      <c r="E62" s="12"/>
    </row>
    <row r="63" spans="1:9" ht="12.75" customHeight="1" x14ac:dyDescent="0.25">
      <c r="E63" s="12"/>
    </row>
  </sheetData>
  <mergeCells count="2">
    <mergeCell ref="C1:E1"/>
    <mergeCell ref="G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91C8-2912-43F8-BF54-F00789C9C03C}">
  <dimension ref="A1:AJ61"/>
  <sheetViews>
    <sheetView workbookViewId="0">
      <selection activeCell="A6" sqref="A6"/>
    </sheetView>
  </sheetViews>
  <sheetFormatPr defaultRowHeight="12.75" customHeight="1" x14ac:dyDescent="0.25"/>
  <cols>
    <col min="1" max="1" width="70" style="9" customWidth="1"/>
    <col min="2" max="36" width="9.7109375" style="9" customWidth="1"/>
    <col min="37" max="16384" width="9.140625" style="9"/>
  </cols>
  <sheetData>
    <row r="1" spans="1:36" ht="12.75" customHeight="1" x14ac:dyDescent="0.25">
      <c r="A1"/>
      <c r="B1"/>
    </row>
    <row r="3" spans="1:36" ht="12.75" customHeight="1" x14ac:dyDescent="0.25">
      <c r="A3" s="8" t="s">
        <v>31</v>
      </c>
      <c r="B3" s="8" t="s">
        <v>30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ht="12.75" customHeight="1" x14ac:dyDescent="0.25">
      <c r="B4" s="10">
        <v>2025</v>
      </c>
      <c r="N4" s="10" t="s">
        <v>101</v>
      </c>
      <c r="O4" s="10">
        <v>2026</v>
      </c>
      <c r="P4" s="10">
        <v>2027</v>
      </c>
      <c r="Q4" s="10">
        <v>2028</v>
      </c>
      <c r="R4" s="10" t="s">
        <v>29</v>
      </c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2.75" customHeight="1" x14ac:dyDescent="0.25">
      <c r="A5" s="8" t="s">
        <v>37</v>
      </c>
      <c r="B5" s="17">
        <v>1</v>
      </c>
      <c r="C5" s="17">
        <v>2</v>
      </c>
      <c r="D5" s="17">
        <v>3</v>
      </c>
      <c r="E5" s="17">
        <v>4</v>
      </c>
      <c r="F5" s="17">
        <v>5</v>
      </c>
      <c r="G5" s="17">
        <v>6</v>
      </c>
      <c r="H5" s="17">
        <v>7</v>
      </c>
      <c r="I5" s="17">
        <v>8</v>
      </c>
      <c r="J5" s="17">
        <v>9</v>
      </c>
      <c r="K5" s="17">
        <v>10</v>
      </c>
      <c r="L5" s="17">
        <v>11</v>
      </c>
      <c r="M5" s="17">
        <v>12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ht="12.75" customHeight="1" x14ac:dyDescent="0.25">
      <c r="A6" s="11" t="s">
        <v>9</v>
      </c>
      <c r="B6" s="12">
        <v>60632</v>
      </c>
      <c r="C6" s="12">
        <v>40040</v>
      </c>
      <c r="D6" s="12">
        <v>41327</v>
      </c>
      <c r="E6" s="12">
        <v>22880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164879</v>
      </c>
      <c r="O6" s="12">
        <v>0</v>
      </c>
      <c r="P6" s="12">
        <v>0</v>
      </c>
      <c r="Q6" s="12">
        <v>0</v>
      </c>
      <c r="R6" s="12">
        <v>164879</v>
      </c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ht="12.75" customHeight="1" x14ac:dyDescent="0.25">
      <c r="A7" s="11" t="s">
        <v>52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9987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145000</v>
      </c>
      <c r="N7" s="12">
        <v>154987</v>
      </c>
      <c r="O7" s="12">
        <v>55000</v>
      </c>
      <c r="P7" s="12">
        <v>0</v>
      </c>
      <c r="Q7" s="12">
        <v>0</v>
      </c>
      <c r="R7" s="12">
        <v>209987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ht="12.75" customHeight="1" x14ac:dyDescent="0.25">
      <c r="A8" s="11" t="s">
        <v>16</v>
      </c>
      <c r="B8" s="12">
        <v>6195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6195</v>
      </c>
      <c r="O8" s="12">
        <v>0</v>
      </c>
      <c r="P8" s="12">
        <v>0</v>
      </c>
      <c r="Q8" s="12">
        <v>0</v>
      </c>
      <c r="R8" s="12">
        <v>6195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ht="12.75" customHeight="1" x14ac:dyDescent="0.25">
      <c r="A9" s="11" t="s">
        <v>130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23000</v>
      </c>
      <c r="N9" s="12">
        <v>23000</v>
      </c>
      <c r="O9" s="12">
        <v>22000</v>
      </c>
      <c r="P9" s="12">
        <v>0</v>
      </c>
      <c r="Q9" s="12">
        <v>0</v>
      </c>
      <c r="R9" s="12">
        <v>45000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ht="12.75" customHeight="1" x14ac:dyDescent="0.25">
      <c r="A10" s="11" t="s">
        <v>1</v>
      </c>
      <c r="B10" s="12">
        <v>31079.4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31079.4</v>
      </c>
      <c r="O10" s="12">
        <v>0</v>
      </c>
      <c r="P10" s="12">
        <v>0</v>
      </c>
      <c r="Q10" s="12">
        <v>0</v>
      </c>
      <c r="R10" s="12">
        <v>31079.4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2.75" customHeight="1" x14ac:dyDescent="0.25">
      <c r="A11" s="11" t="s">
        <v>2</v>
      </c>
      <c r="B11" s="12">
        <v>34562.5</v>
      </c>
      <c r="C11" s="12">
        <v>11987.5</v>
      </c>
      <c r="D11" s="12">
        <v>24325</v>
      </c>
      <c r="E11" s="12">
        <v>24325</v>
      </c>
      <c r="F11" s="12">
        <v>8750</v>
      </c>
      <c r="G11" s="12">
        <v>12206.25</v>
      </c>
      <c r="H11" s="12">
        <v>8750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124906.25</v>
      </c>
      <c r="O11" s="12">
        <v>0</v>
      </c>
      <c r="P11" s="12">
        <v>0</v>
      </c>
      <c r="Q11" s="12">
        <v>0</v>
      </c>
      <c r="R11" s="12">
        <v>124906.25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ht="12.75" customHeight="1" x14ac:dyDescent="0.25">
      <c r="A12" s="11" t="s">
        <v>131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21230</v>
      </c>
      <c r="P12" s="12">
        <v>1930</v>
      </c>
      <c r="Q12" s="12">
        <v>0</v>
      </c>
      <c r="R12" s="12">
        <v>23160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2.75" customHeight="1" x14ac:dyDescent="0.25">
      <c r="A13" s="11" t="s">
        <v>88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1930</v>
      </c>
      <c r="J13" s="12">
        <v>1930</v>
      </c>
      <c r="K13" s="12">
        <v>1930</v>
      </c>
      <c r="L13" s="12">
        <v>1930</v>
      </c>
      <c r="M13" s="12">
        <v>1930</v>
      </c>
      <c r="N13" s="12">
        <v>9650</v>
      </c>
      <c r="O13" s="12">
        <v>1930</v>
      </c>
      <c r="P13" s="12">
        <v>0</v>
      </c>
      <c r="Q13" s="12">
        <v>0</v>
      </c>
      <c r="R13" s="12">
        <v>11580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 ht="12.75" customHeight="1" x14ac:dyDescent="0.25">
      <c r="A14" s="11" t="s">
        <v>11</v>
      </c>
      <c r="B14" s="12">
        <v>4650</v>
      </c>
      <c r="C14" s="12">
        <v>10550</v>
      </c>
      <c r="D14" s="12">
        <v>0</v>
      </c>
      <c r="E14" s="12">
        <v>495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15695</v>
      </c>
      <c r="O14" s="12">
        <v>0</v>
      </c>
      <c r="P14" s="12">
        <v>0</v>
      </c>
      <c r="Q14" s="12">
        <v>0</v>
      </c>
      <c r="R14" s="12">
        <v>15695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36" ht="12.75" customHeight="1" x14ac:dyDescent="0.25">
      <c r="A15" s="11" t="s">
        <v>53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25000</v>
      </c>
      <c r="J15" s="12">
        <v>10000</v>
      </c>
      <c r="K15" s="12">
        <v>10000</v>
      </c>
      <c r="L15" s="12">
        <v>0</v>
      </c>
      <c r="M15" s="12">
        <v>8000</v>
      </c>
      <c r="N15" s="12">
        <v>53000</v>
      </c>
      <c r="O15" s="12">
        <v>33000</v>
      </c>
      <c r="P15" s="12">
        <v>0</v>
      </c>
      <c r="Q15" s="12">
        <v>0</v>
      </c>
      <c r="R15" s="12">
        <v>86000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 ht="12.75" customHeight="1" x14ac:dyDescent="0.25">
      <c r="A16" s="11" t="s">
        <v>45</v>
      </c>
      <c r="B16" s="12">
        <v>0</v>
      </c>
      <c r="C16" s="12">
        <v>0</v>
      </c>
      <c r="D16" s="12">
        <v>0</v>
      </c>
      <c r="E16" s="12">
        <v>25000</v>
      </c>
      <c r="F16" s="12">
        <v>0</v>
      </c>
      <c r="G16" s="12">
        <v>0</v>
      </c>
      <c r="H16" s="12">
        <v>57000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82000</v>
      </c>
      <c r="O16" s="12">
        <v>0</v>
      </c>
      <c r="P16" s="12">
        <v>0</v>
      </c>
      <c r="Q16" s="12">
        <v>0</v>
      </c>
      <c r="R16" s="12">
        <v>82000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1:36" ht="12.75" customHeight="1" x14ac:dyDescent="0.25">
      <c r="A17" s="11" t="s">
        <v>46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12000</v>
      </c>
      <c r="J17" s="12">
        <v>12000</v>
      </c>
      <c r="K17" s="12">
        <v>12000</v>
      </c>
      <c r="L17" s="12">
        <v>12000</v>
      </c>
      <c r="M17" s="12">
        <v>12000</v>
      </c>
      <c r="N17" s="12">
        <v>60000</v>
      </c>
      <c r="O17" s="12">
        <v>84000</v>
      </c>
      <c r="P17" s="12">
        <v>0</v>
      </c>
      <c r="Q17" s="12">
        <v>0</v>
      </c>
      <c r="R17" s="12">
        <v>144000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ht="12.75" customHeight="1" x14ac:dyDescent="0.25">
      <c r="A18" s="11" t="s">
        <v>13</v>
      </c>
      <c r="B18" s="12">
        <v>0</v>
      </c>
      <c r="C18" s="12">
        <v>0</v>
      </c>
      <c r="D18" s="12">
        <v>0</v>
      </c>
      <c r="E18" s="12">
        <v>0</v>
      </c>
      <c r="F18" s="12">
        <v>2628.8</v>
      </c>
      <c r="G18" s="12">
        <v>17046.8</v>
      </c>
      <c r="H18" s="12">
        <v>30724.400000000001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50400</v>
      </c>
      <c r="O18" s="12">
        <v>0</v>
      </c>
      <c r="P18" s="12">
        <v>0</v>
      </c>
      <c r="Q18" s="12">
        <v>0</v>
      </c>
      <c r="R18" s="12">
        <v>50400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6" ht="12.75" customHeight="1" x14ac:dyDescent="0.25">
      <c r="A19" s="11" t="s">
        <v>56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3300</v>
      </c>
      <c r="K19" s="12">
        <v>2200</v>
      </c>
      <c r="L19" s="12">
        <v>2200</v>
      </c>
      <c r="M19" s="12">
        <v>2200</v>
      </c>
      <c r="N19" s="12">
        <v>9900</v>
      </c>
      <c r="O19" s="12">
        <v>4400</v>
      </c>
      <c r="P19" s="12">
        <v>0</v>
      </c>
      <c r="Q19" s="12">
        <v>0</v>
      </c>
      <c r="R19" s="12">
        <v>14300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1:36" ht="12.75" customHeight="1" x14ac:dyDescent="0.25">
      <c r="A20" s="11" t="s">
        <v>47</v>
      </c>
      <c r="B20" s="12">
        <v>0</v>
      </c>
      <c r="C20" s="12">
        <v>50000</v>
      </c>
      <c r="D20" s="12">
        <v>124997.98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174997.97999999998</v>
      </c>
      <c r="O20" s="12">
        <v>0</v>
      </c>
      <c r="P20" s="12">
        <v>0</v>
      </c>
      <c r="Q20" s="12">
        <v>0</v>
      </c>
      <c r="R20" s="12">
        <v>174997.97999999998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1:36" ht="12.75" customHeight="1" x14ac:dyDescent="0.25">
      <c r="A21" s="11" t="s">
        <v>48</v>
      </c>
      <c r="B21" s="12">
        <v>0</v>
      </c>
      <c r="C21" s="12">
        <v>0</v>
      </c>
      <c r="D21" s="12">
        <v>1295</v>
      </c>
      <c r="E21" s="12">
        <v>11377.5</v>
      </c>
      <c r="F21" s="12">
        <v>0</v>
      </c>
      <c r="G21" s="12">
        <v>30327.5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43000</v>
      </c>
      <c r="O21" s="12">
        <v>0</v>
      </c>
      <c r="P21" s="12">
        <v>0</v>
      </c>
      <c r="Q21" s="12">
        <v>0</v>
      </c>
      <c r="R21" s="12">
        <v>43000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1:36" ht="12.75" customHeight="1" x14ac:dyDescent="0.25">
      <c r="A22" s="11" t="s">
        <v>100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509236</v>
      </c>
      <c r="P22" s="12">
        <v>0</v>
      </c>
      <c r="Q22" s="12">
        <v>0</v>
      </c>
      <c r="R22" s="12">
        <v>509236</v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1:36" ht="12.75" customHeight="1" x14ac:dyDescent="0.25">
      <c r="A23" s="11" t="s">
        <v>49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3250</v>
      </c>
      <c r="M23" s="12">
        <v>53417.31</v>
      </c>
      <c r="N23" s="12">
        <v>56667.31</v>
      </c>
      <c r="O23" s="12">
        <v>39750.400000000001</v>
      </c>
      <c r="P23" s="12">
        <v>0</v>
      </c>
      <c r="Q23" s="12">
        <v>0</v>
      </c>
      <c r="R23" s="12">
        <v>96417.709999999992</v>
      </c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36" ht="12.75" customHeight="1" x14ac:dyDescent="0.25">
      <c r="A24" s="11" t="s">
        <v>15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34500</v>
      </c>
      <c r="I24" s="12">
        <v>0</v>
      </c>
      <c r="J24" s="12">
        <v>17500</v>
      </c>
      <c r="K24" s="12">
        <v>0</v>
      </c>
      <c r="L24" s="12">
        <v>17500</v>
      </c>
      <c r="M24" s="12">
        <v>0</v>
      </c>
      <c r="N24" s="12">
        <v>69500</v>
      </c>
      <c r="O24" s="12">
        <v>0</v>
      </c>
      <c r="P24" s="12">
        <v>0</v>
      </c>
      <c r="Q24" s="12">
        <v>0</v>
      </c>
      <c r="R24" s="12">
        <v>69500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 ht="12.75" customHeight="1" x14ac:dyDescent="0.25">
      <c r="A25" s="11" t="s">
        <v>14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10000</v>
      </c>
      <c r="I25" s="12">
        <v>0</v>
      </c>
      <c r="J25" s="12">
        <v>10000</v>
      </c>
      <c r="K25" s="12">
        <v>0</v>
      </c>
      <c r="L25" s="12">
        <v>20000</v>
      </c>
      <c r="M25" s="12">
        <v>30000</v>
      </c>
      <c r="N25" s="12">
        <v>70000</v>
      </c>
      <c r="O25" s="12">
        <v>110000</v>
      </c>
      <c r="P25" s="12">
        <v>10000</v>
      </c>
      <c r="Q25" s="12">
        <v>0</v>
      </c>
      <c r="R25" s="12">
        <v>190000</v>
      </c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ht="12.75" customHeight="1" x14ac:dyDescent="0.25">
      <c r="A26" s="11" t="s">
        <v>97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103535</v>
      </c>
      <c r="L26" s="12">
        <v>103535</v>
      </c>
      <c r="M26" s="12">
        <v>0</v>
      </c>
      <c r="N26" s="12">
        <v>207070</v>
      </c>
      <c r="O26" s="12">
        <v>310607</v>
      </c>
      <c r="P26" s="12">
        <v>0</v>
      </c>
      <c r="Q26" s="12">
        <v>0</v>
      </c>
      <c r="R26" s="12">
        <v>517677</v>
      </c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ht="12.75" customHeight="1" x14ac:dyDescent="0.25">
      <c r="A27" s="11" t="s">
        <v>98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30000</v>
      </c>
      <c r="K27" s="12">
        <v>0</v>
      </c>
      <c r="L27" s="12">
        <v>29000</v>
      </c>
      <c r="M27" s="12">
        <v>0</v>
      </c>
      <c r="N27" s="12">
        <v>59000</v>
      </c>
      <c r="O27" s="12">
        <v>60000</v>
      </c>
      <c r="P27" s="12">
        <v>60000</v>
      </c>
      <c r="Q27" s="12">
        <v>60000</v>
      </c>
      <c r="R27" s="12">
        <v>239000</v>
      </c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1:36" ht="12.75" customHeight="1" x14ac:dyDescent="0.25">
      <c r="A28" s="11" t="s">
        <v>3</v>
      </c>
      <c r="B28" s="12">
        <v>1500</v>
      </c>
      <c r="C28" s="12">
        <v>1500</v>
      </c>
      <c r="D28" s="12">
        <v>0</v>
      </c>
      <c r="E28" s="12">
        <v>1500</v>
      </c>
      <c r="F28" s="12">
        <v>1500</v>
      </c>
      <c r="G28" s="12">
        <v>1500</v>
      </c>
      <c r="H28" s="12">
        <v>3000</v>
      </c>
      <c r="I28" s="12">
        <v>0</v>
      </c>
      <c r="J28" s="12">
        <v>1500</v>
      </c>
      <c r="K28" s="12">
        <v>750</v>
      </c>
      <c r="L28" s="12">
        <v>0</v>
      </c>
      <c r="M28" s="12">
        <v>0</v>
      </c>
      <c r="N28" s="12">
        <v>12750</v>
      </c>
      <c r="O28" s="12">
        <v>0</v>
      </c>
      <c r="P28" s="12">
        <v>0</v>
      </c>
      <c r="Q28" s="12">
        <v>0</v>
      </c>
      <c r="R28" s="12">
        <v>12750</v>
      </c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1:36" ht="12.75" customHeight="1" x14ac:dyDescent="0.25">
      <c r="A29" s="11" t="s">
        <v>4</v>
      </c>
      <c r="B29" s="12">
        <v>8400</v>
      </c>
      <c r="C29" s="12">
        <v>8400</v>
      </c>
      <c r="D29" s="12">
        <v>5250</v>
      </c>
      <c r="E29" s="12">
        <v>0</v>
      </c>
      <c r="F29" s="12">
        <v>10500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32550</v>
      </c>
      <c r="O29" s="12">
        <v>0</v>
      </c>
      <c r="P29" s="12">
        <v>0</v>
      </c>
      <c r="Q29" s="12">
        <v>0</v>
      </c>
      <c r="R29" s="12">
        <v>32550</v>
      </c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 spans="1:36" ht="12.75" customHeight="1" x14ac:dyDescent="0.25">
      <c r="A30" s="11" t="s">
        <v>129</v>
      </c>
      <c r="B30" s="12">
        <v>33580</v>
      </c>
      <c r="C30" s="12">
        <v>0</v>
      </c>
      <c r="D30" s="12">
        <v>30357.5</v>
      </c>
      <c r="E30" s="12">
        <v>38360</v>
      </c>
      <c r="F30" s="12">
        <v>140426</v>
      </c>
      <c r="G30" s="12">
        <v>0</v>
      </c>
      <c r="H30" s="12">
        <v>68320</v>
      </c>
      <c r="I30" s="12">
        <v>57512</v>
      </c>
      <c r="J30" s="12">
        <v>0</v>
      </c>
      <c r="K30" s="12">
        <v>59654.5</v>
      </c>
      <c r="L30" s="12">
        <v>63306.5</v>
      </c>
      <c r="M30" s="12">
        <v>118404</v>
      </c>
      <c r="N30" s="12">
        <v>609920.5</v>
      </c>
      <c r="O30" s="12">
        <v>196720</v>
      </c>
      <c r="P30" s="12">
        <v>0</v>
      </c>
      <c r="Q30" s="12">
        <v>0</v>
      </c>
      <c r="R30" s="12">
        <v>806640.5</v>
      </c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1:36" ht="12.75" customHeight="1" x14ac:dyDescent="0.25">
      <c r="A31" s="11" t="s">
        <v>132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480000</v>
      </c>
      <c r="P31" s="12">
        <v>240000</v>
      </c>
      <c r="Q31" s="12">
        <v>0</v>
      </c>
      <c r="R31" s="12">
        <v>720000</v>
      </c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 spans="1:36" ht="12.75" customHeight="1" x14ac:dyDescent="0.25">
      <c r="A32" s="11" t="s">
        <v>5</v>
      </c>
      <c r="B32" s="12">
        <v>14500</v>
      </c>
      <c r="C32" s="12">
        <v>14500</v>
      </c>
      <c r="D32" s="12">
        <v>14500</v>
      </c>
      <c r="E32" s="12">
        <v>14500</v>
      </c>
      <c r="F32" s="12">
        <v>0</v>
      </c>
      <c r="G32" s="12">
        <v>14500</v>
      </c>
      <c r="H32" s="12">
        <v>29000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101500</v>
      </c>
      <c r="O32" s="12">
        <v>0</v>
      </c>
      <c r="P32" s="12">
        <v>0</v>
      </c>
      <c r="Q32" s="12">
        <v>0</v>
      </c>
      <c r="R32" s="12">
        <v>101500</v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 spans="1:36" ht="12.75" customHeight="1" x14ac:dyDescent="0.25">
      <c r="A33" s="11" t="s">
        <v>34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14500</v>
      </c>
      <c r="J33" s="12">
        <v>0</v>
      </c>
      <c r="K33" s="12">
        <v>14500</v>
      </c>
      <c r="L33" s="12">
        <v>29000</v>
      </c>
      <c r="M33" s="12">
        <v>14500</v>
      </c>
      <c r="N33" s="12">
        <v>72500</v>
      </c>
      <c r="O33" s="12">
        <v>101500</v>
      </c>
      <c r="P33" s="12">
        <v>0</v>
      </c>
      <c r="Q33" s="12">
        <v>0</v>
      </c>
      <c r="R33" s="12">
        <v>174000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1:36" ht="12.75" customHeight="1" x14ac:dyDescent="0.25">
      <c r="A34" s="11" t="s">
        <v>107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100000</v>
      </c>
      <c r="M34" s="12">
        <v>0</v>
      </c>
      <c r="N34" s="12">
        <v>100000</v>
      </c>
      <c r="O34" s="12">
        <v>50000</v>
      </c>
      <c r="P34" s="12">
        <v>25000</v>
      </c>
      <c r="Q34" s="12">
        <v>0</v>
      </c>
      <c r="R34" s="12">
        <v>175000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 spans="1:36" ht="12.75" customHeight="1" x14ac:dyDescent="0.25">
      <c r="A35" s="11" t="s">
        <v>106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75000</v>
      </c>
      <c r="P35" s="12">
        <v>0</v>
      </c>
      <c r="Q35" s="12">
        <v>0</v>
      </c>
      <c r="R35" s="12">
        <v>75000</v>
      </c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ht="12.75" customHeight="1" x14ac:dyDescent="0.25">
      <c r="A36" s="11" t="s">
        <v>105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175000</v>
      </c>
      <c r="P36" s="12">
        <v>0</v>
      </c>
      <c r="Q36" s="12">
        <v>0</v>
      </c>
      <c r="R36" s="12">
        <v>175000</v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</row>
    <row r="37" spans="1:36" ht="12.75" customHeight="1" x14ac:dyDescent="0.25">
      <c r="A37" s="11" t="s">
        <v>108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25000</v>
      </c>
      <c r="P37" s="12">
        <v>49059</v>
      </c>
      <c r="Q37" s="12">
        <v>0</v>
      </c>
      <c r="R37" s="12">
        <v>74059</v>
      </c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</row>
    <row r="38" spans="1:36" ht="12.75" customHeight="1" x14ac:dyDescent="0.25">
      <c r="A38" s="11" t="s">
        <v>109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60000</v>
      </c>
      <c r="P38" s="12">
        <v>60000</v>
      </c>
      <c r="Q38" s="12">
        <v>60000</v>
      </c>
      <c r="R38" s="12">
        <v>180000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</row>
    <row r="39" spans="1:36" ht="12.75" customHeight="1" x14ac:dyDescent="0.25">
      <c r="A39" s="11" t="s">
        <v>99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12000</v>
      </c>
      <c r="M39" s="12">
        <v>13000</v>
      </c>
      <c r="N39" s="12">
        <v>25000</v>
      </c>
      <c r="O39" s="12">
        <v>0</v>
      </c>
      <c r="P39" s="12">
        <v>0</v>
      </c>
      <c r="Q39" s="12">
        <v>0</v>
      </c>
      <c r="R39" s="12">
        <v>25000</v>
      </c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1:36" ht="12.75" customHeight="1" x14ac:dyDescent="0.25">
      <c r="A40" s="11" t="s">
        <v>6</v>
      </c>
      <c r="B40" s="12">
        <v>5250</v>
      </c>
      <c r="C40" s="12">
        <v>4200</v>
      </c>
      <c r="D40" s="12">
        <v>8400</v>
      </c>
      <c r="E40" s="12">
        <v>4200</v>
      </c>
      <c r="F40" s="12">
        <v>4200</v>
      </c>
      <c r="G40" s="12">
        <v>0</v>
      </c>
      <c r="H40" s="12">
        <v>4200</v>
      </c>
      <c r="I40" s="12">
        <v>1500</v>
      </c>
      <c r="J40" s="12">
        <v>0</v>
      </c>
      <c r="K40" s="12">
        <v>0</v>
      </c>
      <c r="L40" s="12">
        <v>0</v>
      </c>
      <c r="M40" s="12">
        <v>0</v>
      </c>
      <c r="N40" s="12">
        <v>31950</v>
      </c>
      <c r="O40" s="12">
        <v>0</v>
      </c>
      <c r="P40" s="12">
        <v>0</v>
      </c>
      <c r="Q40" s="12">
        <v>0</v>
      </c>
      <c r="R40" s="12">
        <v>31950</v>
      </c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 spans="1:36" ht="12.75" customHeight="1" x14ac:dyDescent="0.25">
      <c r="A41" s="11" t="s">
        <v>89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1762.5</v>
      </c>
      <c r="J41" s="12">
        <v>3937.5</v>
      </c>
      <c r="K41" s="12">
        <v>0</v>
      </c>
      <c r="L41" s="12">
        <v>0</v>
      </c>
      <c r="M41" s="12">
        <v>0</v>
      </c>
      <c r="N41" s="12">
        <v>5700</v>
      </c>
      <c r="O41" s="12">
        <v>0</v>
      </c>
      <c r="P41" s="12">
        <v>0</v>
      </c>
      <c r="Q41" s="12">
        <v>0</v>
      </c>
      <c r="R41" s="12">
        <v>5700</v>
      </c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</row>
    <row r="42" spans="1:36" ht="12.75" customHeight="1" x14ac:dyDescent="0.25">
      <c r="A42" s="11" t="s">
        <v>12</v>
      </c>
      <c r="B42" s="12">
        <v>28830</v>
      </c>
      <c r="C42" s="12">
        <v>22320</v>
      </c>
      <c r="D42" s="12">
        <v>24800</v>
      </c>
      <c r="E42" s="12">
        <v>19840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95790</v>
      </c>
      <c r="O42" s="12">
        <v>0</v>
      </c>
      <c r="P42" s="12">
        <v>0</v>
      </c>
      <c r="Q42" s="12">
        <v>0</v>
      </c>
      <c r="R42" s="12">
        <v>95790</v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</row>
    <row r="43" spans="1:36" ht="12.75" customHeight="1" x14ac:dyDescent="0.25">
      <c r="A43" s="11" t="s">
        <v>7</v>
      </c>
      <c r="B43" s="12">
        <v>22182.36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22182.36</v>
      </c>
      <c r="O43" s="12">
        <v>0</v>
      </c>
      <c r="P43" s="12">
        <v>0</v>
      </c>
      <c r="Q43" s="12">
        <v>0</v>
      </c>
      <c r="R43" s="12">
        <v>22182.36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</row>
    <row r="44" spans="1:36" ht="12.75" customHeight="1" x14ac:dyDescent="0.25">
      <c r="A44" s="11" t="s">
        <v>35</v>
      </c>
      <c r="B44" s="12">
        <v>24777.599999999999</v>
      </c>
      <c r="C44" s="12">
        <v>24777.599999999999</v>
      </c>
      <c r="D44" s="12">
        <v>0</v>
      </c>
      <c r="E44" s="12">
        <v>49555.199999999997</v>
      </c>
      <c r="F44" s="12">
        <v>24777.599999999999</v>
      </c>
      <c r="G44" s="12">
        <v>24777.599999999999</v>
      </c>
      <c r="H44" s="12">
        <v>24777.599999999999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173443.20000000001</v>
      </c>
      <c r="O44" s="12">
        <v>0</v>
      </c>
      <c r="P44" s="12">
        <v>0</v>
      </c>
      <c r="Q44" s="12">
        <v>0</v>
      </c>
      <c r="R44" s="12">
        <v>173443.20000000001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</row>
    <row r="45" spans="1:36" ht="12.75" customHeight="1" x14ac:dyDescent="0.25">
      <c r="A45" s="11" t="s">
        <v>36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24777.599999999999</v>
      </c>
      <c r="J45" s="12">
        <v>0</v>
      </c>
      <c r="K45" s="12">
        <v>49555.199999999997</v>
      </c>
      <c r="L45" s="12">
        <v>24777.599999999999</v>
      </c>
      <c r="M45" s="12">
        <v>24777.599999999999</v>
      </c>
      <c r="N45" s="12">
        <v>123888</v>
      </c>
      <c r="O45" s="12">
        <v>173443.20000000001</v>
      </c>
      <c r="P45" s="12">
        <v>0</v>
      </c>
      <c r="Q45" s="12">
        <v>0</v>
      </c>
      <c r="R45" s="12">
        <v>297331.20000000001</v>
      </c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ht="12.75" customHeight="1" x14ac:dyDescent="0.25">
      <c r="A46" s="11" t="s">
        <v>55</v>
      </c>
      <c r="B46" s="12">
        <v>0</v>
      </c>
      <c r="C46" s="12">
        <v>165384</v>
      </c>
      <c r="D46" s="12">
        <v>0</v>
      </c>
      <c r="E46" s="12">
        <v>0</v>
      </c>
      <c r="F46" s="12">
        <v>0</v>
      </c>
      <c r="G46" s="12">
        <v>5722.25</v>
      </c>
      <c r="H46" s="12">
        <v>42909</v>
      </c>
      <c r="I46" s="12">
        <v>41456.5</v>
      </c>
      <c r="J46" s="12">
        <v>18810</v>
      </c>
      <c r="K46" s="12">
        <v>20208.5</v>
      </c>
      <c r="L46" s="12">
        <v>6011</v>
      </c>
      <c r="M46" s="12">
        <v>15271</v>
      </c>
      <c r="N46" s="12">
        <v>315772.25</v>
      </c>
      <c r="O46" s="12">
        <v>1370</v>
      </c>
      <c r="P46" s="12">
        <v>0</v>
      </c>
      <c r="Q46" s="12">
        <v>0</v>
      </c>
      <c r="R46" s="12">
        <v>317142.25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</row>
    <row r="47" spans="1:36" ht="12.75" customHeight="1" x14ac:dyDescent="0.25">
      <c r="A47" s="11" t="s">
        <v>54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176170</v>
      </c>
      <c r="N47" s="12">
        <v>176170</v>
      </c>
      <c r="O47" s="12">
        <v>70450</v>
      </c>
      <c r="P47" s="12">
        <v>0</v>
      </c>
      <c r="Q47" s="12">
        <v>0</v>
      </c>
      <c r="R47" s="12">
        <v>246620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</row>
    <row r="48" spans="1:36" ht="12.75" customHeight="1" x14ac:dyDescent="0.25">
      <c r="A48" s="11" t="s">
        <v>133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54949</v>
      </c>
      <c r="P48" s="12">
        <v>0</v>
      </c>
      <c r="Q48" s="12">
        <v>0</v>
      </c>
      <c r="R48" s="12">
        <v>54949</v>
      </c>
      <c r="T48"/>
      <c r="U48"/>
      <c r="V48"/>
      <c r="W48"/>
      <c r="X48"/>
    </row>
    <row r="49" spans="1:24" ht="12.75" customHeight="1" x14ac:dyDescent="0.25">
      <c r="A49" s="11" t="s">
        <v>50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12000</v>
      </c>
      <c r="I49" s="12">
        <v>5000</v>
      </c>
      <c r="J49" s="12">
        <v>0</v>
      </c>
      <c r="K49" s="12">
        <v>0</v>
      </c>
      <c r="L49" s="12">
        <v>0</v>
      </c>
      <c r="M49" s="12">
        <v>4000</v>
      </c>
      <c r="N49" s="12">
        <v>21000</v>
      </c>
      <c r="O49" s="12">
        <v>0</v>
      </c>
      <c r="P49" s="12">
        <v>0</v>
      </c>
      <c r="Q49" s="12">
        <v>0</v>
      </c>
      <c r="R49" s="12">
        <v>21000</v>
      </c>
      <c r="T49"/>
      <c r="U49"/>
      <c r="V49"/>
      <c r="W49"/>
      <c r="X49"/>
    </row>
    <row r="50" spans="1:24" ht="12.75" customHeight="1" x14ac:dyDescent="0.25">
      <c r="A50" s="11" t="s">
        <v>51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3000</v>
      </c>
      <c r="N50" s="12">
        <v>3000</v>
      </c>
      <c r="O50" s="12">
        <v>33000</v>
      </c>
      <c r="P50" s="12">
        <v>0</v>
      </c>
      <c r="Q50" s="12">
        <v>0</v>
      </c>
      <c r="R50" s="12">
        <v>36000</v>
      </c>
      <c r="T50"/>
      <c r="U50"/>
      <c r="V50"/>
      <c r="W50"/>
      <c r="X50"/>
    </row>
    <row r="51" spans="1:24" ht="12.75" customHeight="1" x14ac:dyDescent="0.25">
      <c r="A51" s="11" t="s">
        <v>29</v>
      </c>
      <c r="B51" s="12">
        <v>276138.86</v>
      </c>
      <c r="C51" s="12">
        <v>353659.1</v>
      </c>
      <c r="D51" s="12">
        <v>275252.47999999998</v>
      </c>
      <c r="E51" s="12">
        <v>212032.7</v>
      </c>
      <c r="F51" s="12">
        <v>192782.4</v>
      </c>
      <c r="G51" s="12">
        <v>116067.4</v>
      </c>
      <c r="H51" s="12">
        <v>325181</v>
      </c>
      <c r="I51" s="12">
        <v>185438.6</v>
      </c>
      <c r="J51" s="12">
        <v>108977.5</v>
      </c>
      <c r="K51" s="12">
        <v>274333.2</v>
      </c>
      <c r="L51" s="12">
        <v>424510.1</v>
      </c>
      <c r="M51" s="12">
        <v>644669.90999999992</v>
      </c>
      <c r="N51" s="12">
        <v>3389043.25</v>
      </c>
      <c r="O51" s="12">
        <v>2747585.6</v>
      </c>
      <c r="P51" s="12">
        <v>445989</v>
      </c>
      <c r="Q51" s="12">
        <v>120000</v>
      </c>
      <c r="R51" s="12">
        <v>6702617.8500000006</v>
      </c>
      <c r="T51"/>
      <c r="U51"/>
      <c r="V51"/>
      <c r="W51"/>
      <c r="X51"/>
    </row>
    <row r="52" spans="1:24" ht="12.75" customHeight="1" x14ac:dyDescent="0.25">
      <c r="T52"/>
      <c r="U52"/>
      <c r="V52"/>
      <c r="W52"/>
      <c r="X52"/>
    </row>
    <row r="53" spans="1:24" ht="12.75" customHeight="1" x14ac:dyDescent="0.25">
      <c r="T53"/>
      <c r="U53"/>
      <c r="V53"/>
      <c r="W53"/>
      <c r="X53"/>
    </row>
    <row r="54" spans="1:24" ht="12.75" customHeight="1" x14ac:dyDescent="0.25">
      <c r="T54"/>
      <c r="U54"/>
      <c r="V54"/>
      <c r="W54"/>
      <c r="X54"/>
    </row>
    <row r="55" spans="1:24" ht="12.75" customHeight="1" x14ac:dyDescent="0.25">
      <c r="T55"/>
      <c r="U55"/>
      <c r="V55"/>
      <c r="W55"/>
      <c r="X55"/>
    </row>
    <row r="56" spans="1:24" ht="12.75" customHeight="1" x14ac:dyDescent="0.25">
      <c r="T56"/>
      <c r="U56"/>
      <c r="V56"/>
      <c r="W56"/>
      <c r="X56"/>
    </row>
    <row r="57" spans="1:24" ht="12.75" customHeight="1" x14ac:dyDescent="0.25">
      <c r="T57"/>
      <c r="U57"/>
      <c r="V57"/>
      <c r="W57"/>
      <c r="X57"/>
    </row>
    <row r="58" spans="1:24" ht="12.75" customHeight="1" x14ac:dyDescent="0.25">
      <c r="T58"/>
      <c r="U58"/>
      <c r="V58"/>
      <c r="W58"/>
      <c r="X58"/>
    </row>
    <row r="59" spans="1:24" ht="12.75" customHeight="1" x14ac:dyDescent="0.25">
      <c r="T59"/>
      <c r="U59"/>
      <c r="V59"/>
      <c r="W59"/>
      <c r="X59"/>
    </row>
    <row r="60" spans="1:24" ht="12.75" customHeight="1" x14ac:dyDescent="0.25">
      <c r="T60"/>
      <c r="U60"/>
      <c r="V60"/>
      <c r="W60"/>
      <c r="X60"/>
    </row>
    <row r="61" spans="1:24" ht="12.75" customHeight="1" x14ac:dyDescent="0.25">
      <c r="T61"/>
      <c r="U61"/>
      <c r="V61"/>
      <c r="W61"/>
      <c r="X6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F1DD-2F49-41AD-9FAE-7A88CB2674EA}">
  <dimension ref="A1:AK70"/>
  <sheetViews>
    <sheetView topLeftCell="A4" workbookViewId="0">
      <selection activeCell="A21" sqref="A21"/>
    </sheetView>
  </sheetViews>
  <sheetFormatPr defaultRowHeight="12.75" customHeight="1" x14ac:dyDescent="0.25"/>
  <cols>
    <col min="1" max="1" width="70" style="9" customWidth="1"/>
    <col min="2" max="36" width="9.7109375" style="9" customWidth="1"/>
    <col min="37" max="16384" width="9.140625" style="9"/>
  </cols>
  <sheetData>
    <row r="1" spans="1:37" ht="12.75" customHeight="1" x14ac:dyDescent="0.25">
      <c r="A1"/>
      <c r="B1"/>
    </row>
    <row r="3" spans="1:37" ht="12.75" customHeight="1" x14ac:dyDescent="0.25">
      <c r="A3" s="8" t="s">
        <v>31</v>
      </c>
      <c r="B3" s="8" t="s">
        <v>30</v>
      </c>
    </row>
    <row r="4" spans="1:37" ht="12.75" customHeight="1" x14ac:dyDescent="0.25">
      <c r="B4" s="10">
        <v>2025</v>
      </c>
      <c r="N4" s="10" t="s">
        <v>101</v>
      </c>
      <c r="O4" s="10">
        <v>2026</v>
      </c>
      <c r="AA4" s="10" t="s">
        <v>102</v>
      </c>
      <c r="AB4" s="10">
        <v>2027</v>
      </c>
      <c r="AG4" s="10" t="s">
        <v>103</v>
      </c>
      <c r="AH4" s="10">
        <v>2028</v>
      </c>
      <c r="AJ4" s="10" t="s">
        <v>104</v>
      </c>
      <c r="AK4" s="10" t="s">
        <v>29</v>
      </c>
    </row>
    <row r="5" spans="1:37" ht="12.75" customHeight="1" x14ac:dyDescent="0.25">
      <c r="A5" s="8" t="s">
        <v>37</v>
      </c>
      <c r="B5" s="17">
        <v>1</v>
      </c>
      <c r="C5" s="17">
        <v>2</v>
      </c>
      <c r="D5" s="17">
        <v>3</v>
      </c>
      <c r="E5" s="17">
        <v>4</v>
      </c>
      <c r="F5" s="17">
        <v>5</v>
      </c>
      <c r="G5" s="17">
        <v>6</v>
      </c>
      <c r="H5" s="17">
        <v>7</v>
      </c>
      <c r="I5" s="17">
        <v>8</v>
      </c>
      <c r="J5" s="17">
        <v>9</v>
      </c>
      <c r="K5" s="17">
        <v>10</v>
      </c>
      <c r="L5" s="17">
        <v>11</v>
      </c>
      <c r="M5" s="17">
        <v>12</v>
      </c>
      <c r="O5" s="10">
        <v>1</v>
      </c>
      <c r="P5" s="10">
        <v>2</v>
      </c>
      <c r="Q5" s="10">
        <v>3</v>
      </c>
      <c r="R5" s="10">
        <v>4</v>
      </c>
      <c r="S5" s="10">
        <v>5</v>
      </c>
      <c r="T5" s="10">
        <v>6</v>
      </c>
      <c r="U5" s="10">
        <v>7</v>
      </c>
      <c r="V5" s="10">
        <v>8</v>
      </c>
      <c r="W5" s="10">
        <v>9</v>
      </c>
      <c r="X5" s="10">
        <v>10</v>
      </c>
      <c r="Y5" s="10">
        <v>11</v>
      </c>
      <c r="Z5" s="10">
        <v>12</v>
      </c>
      <c r="AB5" s="10">
        <v>1</v>
      </c>
      <c r="AC5" s="10">
        <v>2</v>
      </c>
      <c r="AD5" s="10">
        <v>3</v>
      </c>
      <c r="AE5" s="10">
        <v>4</v>
      </c>
      <c r="AF5" s="10">
        <v>5</v>
      </c>
      <c r="AH5" s="10">
        <v>4</v>
      </c>
      <c r="AI5" s="10">
        <v>5</v>
      </c>
    </row>
    <row r="6" spans="1:37" ht="12.75" customHeight="1" x14ac:dyDescent="0.25">
      <c r="A6" s="11" t="s">
        <v>40</v>
      </c>
      <c r="B6" s="12">
        <v>276138.86</v>
      </c>
      <c r="C6" s="12">
        <v>353659.1</v>
      </c>
      <c r="D6" s="12">
        <v>275252.47999999998</v>
      </c>
      <c r="E6" s="12">
        <v>212032.7</v>
      </c>
      <c r="F6" s="12">
        <v>192782.4</v>
      </c>
      <c r="G6" s="12">
        <v>116067.4</v>
      </c>
      <c r="H6" s="12">
        <v>325181</v>
      </c>
      <c r="I6" s="12">
        <v>185438.6</v>
      </c>
      <c r="J6" s="12">
        <v>108977.5</v>
      </c>
      <c r="K6" s="12">
        <v>274333.2</v>
      </c>
      <c r="L6" s="12">
        <v>424510.1</v>
      </c>
      <c r="M6" s="12">
        <v>644669.90999999992</v>
      </c>
      <c r="N6" s="12">
        <v>3389043.25</v>
      </c>
      <c r="O6" s="12">
        <v>637897.35</v>
      </c>
      <c r="P6" s="12">
        <v>179652.4</v>
      </c>
      <c r="Q6" s="12">
        <v>8937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826486.75</v>
      </c>
      <c r="AB6" s="12">
        <v>25000</v>
      </c>
      <c r="AC6" s="12">
        <v>0</v>
      </c>
      <c r="AD6" s="12">
        <v>0</v>
      </c>
      <c r="AE6" s="12">
        <v>0</v>
      </c>
      <c r="AF6" s="12">
        <v>0</v>
      </c>
      <c r="AG6" s="12">
        <v>25000</v>
      </c>
      <c r="AH6" s="12">
        <v>0</v>
      </c>
      <c r="AI6" s="12">
        <v>0</v>
      </c>
      <c r="AJ6" s="12">
        <v>0</v>
      </c>
      <c r="AK6" s="12">
        <v>4240530</v>
      </c>
    </row>
    <row r="7" spans="1:37" ht="12.75" customHeight="1" x14ac:dyDescent="0.25">
      <c r="A7" s="28" t="s">
        <v>9</v>
      </c>
      <c r="B7" s="12">
        <v>60632</v>
      </c>
      <c r="C7" s="12">
        <v>40040</v>
      </c>
      <c r="D7" s="12">
        <v>41327</v>
      </c>
      <c r="E7" s="12">
        <v>22880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164879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164879</v>
      </c>
    </row>
    <row r="8" spans="1:37" ht="12.75" customHeight="1" x14ac:dyDescent="0.25">
      <c r="A8" s="28" t="s">
        <v>52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9987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145000</v>
      </c>
      <c r="N8" s="12">
        <v>154987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154987</v>
      </c>
    </row>
    <row r="9" spans="1:37" ht="12.75" customHeight="1" x14ac:dyDescent="0.25">
      <c r="A9" s="28" t="s">
        <v>16</v>
      </c>
      <c r="B9" s="12">
        <v>6195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6195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6195</v>
      </c>
    </row>
    <row r="10" spans="1:37" ht="12.75" customHeight="1" x14ac:dyDescent="0.25">
      <c r="A10" s="28" t="s">
        <v>130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23000</v>
      </c>
      <c r="N10" s="12">
        <v>23000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23000</v>
      </c>
    </row>
    <row r="11" spans="1:37" ht="12.75" customHeight="1" x14ac:dyDescent="0.25">
      <c r="A11" s="28" t="s">
        <v>1</v>
      </c>
      <c r="B11" s="12">
        <v>31079.4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31079.4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31079.4</v>
      </c>
    </row>
    <row r="12" spans="1:37" ht="12.75" customHeight="1" x14ac:dyDescent="0.25">
      <c r="A12" s="28" t="s">
        <v>2</v>
      </c>
      <c r="B12" s="12">
        <v>34562.5</v>
      </c>
      <c r="C12" s="12">
        <v>11987.5</v>
      </c>
      <c r="D12" s="12">
        <v>24325</v>
      </c>
      <c r="E12" s="12">
        <v>24325</v>
      </c>
      <c r="F12" s="12">
        <v>8750</v>
      </c>
      <c r="G12" s="12">
        <v>12206.25</v>
      </c>
      <c r="H12" s="12">
        <v>8750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124906.25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124906.25</v>
      </c>
    </row>
    <row r="13" spans="1:37" ht="12.75" customHeight="1" x14ac:dyDescent="0.25">
      <c r="A13" s="28" t="s">
        <v>131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1930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1930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1930</v>
      </c>
    </row>
    <row r="14" spans="1:37" ht="12.75" customHeight="1" x14ac:dyDescent="0.25">
      <c r="A14" s="28" t="s">
        <v>88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1930</v>
      </c>
      <c r="J14" s="12">
        <v>1930</v>
      </c>
      <c r="K14" s="12">
        <v>1930</v>
      </c>
      <c r="L14" s="12">
        <v>1930</v>
      </c>
      <c r="M14" s="12">
        <v>1930</v>
      </c>
      <c r="N14" s="12">
        <v>9650</v>
      </c>
      <c r="O14" s="12">
        <v>1930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1930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11580</v>
      </c>
    </row>
    <row r="15" spans="1:37" ht="12.75" customHeight="1" x14ac:dyDescent="0.25">
      <c r="A15" s="28" t="s">
        <v>11</v>
      </c>
      <c r="B15" s="12">
        <v>4650</v>
      </c>
      <c r="C15" s="12">
        <v>10550</v>
      </c>
      <c r="D15" s="12">
        <v>0</v>
      </c>
      <c r="E15" s="12">
        <v>495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15695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15695</v>
      </c>
    </row>
    <row r="16" spans="1:37" ht="12.75" customHeight="1" x14ac:dyDescent="0.25">
      <c r="A16" s="28" t="s">
        <v>53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25000</v>
      </c>
      <c r="J16" s="12">
        <v>10000</v>
      </c>
      <c r="K16" s="12">
        <v>10000</v>
      </c>
      <c r="L16" s="12">
        <v>0</v>
      </c>
      <c r="M16" s="12">
        <v>8000</v>
      </c>
      <c r="N16" s="12">
        <v>53000</v>
      </c>
      <c r="O16" s="12">
        <v>3000</v>
      </c>
      <c r="P16" s="12">
        <v>3000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6000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59000</v>
      </c>
    </row>
    <row r="17" spans="1:37" ht="12.75" customHeight="1" x14ac:dyDescent="0.25">
      <c r="A17" s="28" t="s">
        <v>45</v>
      </c>
      <c r="B17" s="12">
        <v>0</v>
      </c>
      <c r="C17" s="12">
        <v>0</v>
      </c>
      <c r="D17" s="12">
        <v>0</v>
      </c>
      <c r="E17" s="12">
        <v>25000</v>
      </c>
      <c r="F17" s="12">
        <v>0</v>
      </c>
      <c r="G17" s="12">
        <v>0</v>
      </c>
      <c r="H17" s="12">
        <v>57000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82000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82000</v>
      </c>
    </row>
    <row r="18" spans="1:37" ht="12.75" customHeight="1" x14ac:dyDescent="0.25">
      <c r="A18" s="28" t="s">
        <v>46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12000</v>
      </c>
      <c r="J18" s="12">
        <v>12000</v>
      </c>
      <c r="K18" s="12">
        <v>12000</v>
      </c>
      <c r="L18" s="12">
        <v>12000</v>
      </c>
      <c r="M18" s="12">
        <v>12000</v>
      </c>
      <c r="N18" s="12">
        <v>60000</v>
      </c>
      <c r="O18" s="12">
        <v>12000</v>
      </c>
      <c r="P18" s="12">
        <v>12000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24000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84000</v>
      </c>
    </row>
    <row r="19" spans="1:37" ht="12.75" customHeight="1" x14ac:dyDescent="0.25">
      <c r="A19" s="28" t="s">
        <v>13</v>
      </c>
      <c r="B19" s="12">
        <v>0</v>
      </c>
      <c r="C19" s="12">
        <v>0</v>
      </c>
      <c r="D19" s="12">
        <v>0</v>
      </c>
      <c r="E19" s="12">
        <v>0</v>
      </c>
      <c r="F19" s="12">
        <v>2628.8</v>
      </c>
      <c r="G19" s="12">
        <v>17046.8</v>
      </c>
      <c r="H19" s="12">
        <v>30724.400000000001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50400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50400</v>
      </c>
    </row>
    <row r="20" spans="1:37" ht="12.75" customHeight="1" x14ac:dyDescent="0.25">
      <c r="A20" s="28" t="s">
        <v>56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3300</v>
      </c>
      <c r="K20" s="12">
        <v>2200</v>
      </c>
      <c r="L20" s="12">
        <v>2200</v>
      </c>
      <c r="M20" s="12">
        <v>2200</v>
      </c>
      <c r="N20" s="12">
        <v>9900</v>
      </c>
      <c r="O20" s="12">
        <v>2200</v>
      </c>
      <c r="P20" s="12">
        <v>2200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4400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14300</v>
      </c>
    </row>
    <row r="21" spans="1:37" ht="12.75" customHeight="1" x14ac:dyDescent="0.25">
      <c r="A21" s="28" t="s">
        <v>47</v>
      </c>
      <c r="B21" s="12">
        <v>0</v>
      </c>
      <c r="C21" s="12">
        <v>50000</v>
      </c>
      <c r="D21" s="12">
        <v>124997.98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174997.97999999998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174997.97999999998</v>
      </c>
    </row>
    <row r="22" spans="1:37" ht="12.75" customHeight="1" x14ac:dyDescent="0.25">
      <c r="A22" s="28" t="s">
        <v>48</v>
      </c>
      <c r="B22" s="12">
        <v>0</v>
      </c>
      <c r="C22" s="12">
        <v>0</v>
      </c>
      <c r="D22" s="12">
        <v>1295</v>
      </c>
      <c r="E22" s="12">
        <v>11377.5</v>
      </c>
      <c r="F22" s="12">
        <v>0</v>
      </c>
      <c r="G22" s="12">
        <v>30327.5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43000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43000</v>
      </c>
    </row>
    <row r="23" spans="1:37" ht="12.75" customHeight="1" x14ac:dyDescent="0.25">
      <c r="A23" s="28" t="s">
        <v>100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509236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509236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509236</v>
      </c>
    </row>
    <row r="24" spans="1:37" ht="12.75" customHeight="1" x14ac:dyDescent="0.25">
      <c r="A24" s="28" t="s">
        <v>49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3250</v>
      </c>
      <c r="M24" s="12">
        <v>53417.31</v>
      </c>
      <c r="N24" s="12">
        <v>56667.31</v>
      </c>
      <c r="O24" s="12">
        <v>0</v>
      </c>
      <c r="P24" s="12">
        <v>23250.400000000001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23250.400000000001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79917.709999999992</v>
      </c>
    </row>
    <row r="25" spans="1:37" ht="12.75" customHeight="1" x14ac:dyDescent="0.25">
      <c r="A25" s="28" t="s">
        <v>15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34500</v>
      </c>
      <c r="I25" s="12">
        <v>0</v>
      </c>
      <c r="J25" s="12">
        <v>17500</v>
      </c>
      <c r="K25" s="12">
        <v>0</v>
      </c>
      <c r="L25" s="12">
        <v>17500</v>
      </c>
      <c r="M25" s="12">
        <v>0</v>
      </c>
      <c r="N25" s="12">
        <v>69500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69500</v>
      </c>
    </row>
    <row r="26" spans="1:37" ht="12.75" customHeight="1" x14ac:dyDescent="0.25">
      <c r="A26" s="28" t="s">
        <v>14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10000</v>
      </c>
      <c r="I26" s="12">
        <v>0</v>
      </c>
      <c r="J26" s="12">
        <v>10000</v>
      </c>
      <c r="K26" s="12">
        <v>0</v>
      </c>
      <c r="L26" s="12">
        <v>20000</v>
      </c>
      <c r="M26" s="12">
        <v>30000</v>
      </c>
      <c r="N26" s="12">
        <v>70000</v>
      </c>
      <c r="O26" s="12">
        <v>0</v>
      </c>
      <c r="P26" s="12">
        <v>10000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10000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80000</v>
      </c>
    </row>
    <row r="27" spans="1:37" ht="12.75" customHeight="1" x14ac:dyDescent="0.25">
      <c r="A27" s="28" t="s">
        <v>97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103535</v>
      </c>
      <c r="L27" s="12">
        <v>103535</v>
      </c>
      <c r="M27" s="12">
        <v>0</v>
      </c>
      <c r="N27" s="12">
        <v>207070</v>
      </c>
      <c r="O27" s="12">
        <v>12975.75</v>
      </c>
      <c r="P27" s="12">
        <v>44443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57418.75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264488.75</v>
      </c>
    </row>
    <row r="28" spans="1:37" ht="12.75" customHeight="1" x14ac:dyDescent="0.25">
      <c r="A28" s="28" t="s">
        <v>98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30000</v>
      </c>
      <c r="K28" s="12">
        <v>0</v>
      </c>
      <c r="L28" s="12">
        <v>29000</v>
      </c>
      <c r="M28" s="12">
        <v>0</v>
      </c>
      <c r="N28" s="12">
        <v>59000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59000</v>
      </c>
    </row>
    <row r="29" spans="1:37" ht="12.75" customHeight="1" x14ac:dyDescent="0.25">
      <c r="A29" s="28" t="s">
        <v>3</v>
      </c>
      <c r="B29" s="12">
        <v>1500</v>
      </c>
      <c r="C29" s="12">
        <v>1500</v>
      </c>
      <c r="D29" s="12">
        <v>0</v>
      </c>
      <c r="E29" s="12">
        <v>1500</v>
      </c>
      <c r="F29" s="12">
        <v>1500</v>
      </c>
      <c r="G29" s="12">
        <v>1500</v>
      </c>
      <c r="H29" s="12">
        <v>3000</v>
      </c>
      <c r="I29" s="12">
        <v>0</v>
      </c>
      <c r="J29" s="12">
        <v>1500</v>
      </c>
      <c r="K29" s="12">
        <v>750</v>
      </c>
      <c r="L29" s="12">
        <v>0</v>
      </c>
      <c r="M29" s="12">
        <v>0</v>
      </c>
      <c r="N29" s="12">
        <v>12750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12750</v>
      </c>
    </row>
    <row r="30" spans="1:37" ht="12.75" customHeight="1" x14ac:dyDescent="0.25">
      <c r="A30" s="28" t="s">
        <v>4</v>
      </c>
      <c r="B30" s="12">
        <v>8400</v>
      </c>
      <c r="C30" s="12">
        <v>8400</v>
      </c>
      <c r="D30" s="12">
        <v>5250</v>
      </c>
      <c r="E30" s="12">
        <v>0</v>
      </c>
      <c r="F30" s="12">
        <v>10500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32550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32550</v>
      </c>
    </row>
    <row r="31" spans="1:37" ht="12.75" customHeight="1" x14ac:dyDescent="0.25">
      <c r="A31" s="28" t="s">
        <v>129</v>
      </c>
      <c r="B31" s="12">
        <v>33580</v>
      </c>
      <c r="C31" s="12">
        <v>0</v>
      </c>
      <c r="D31" s="12">
        <v>30357.5</v>
      </c>
      <c r="E31" s="12">
        <v>38360</v>
      </c>
      <c r="F31" s="12">
        <v>140426</v>
      </c>
      <c r="G31" s="12">
        <v>0</v>
      </c>
      <c r="H31" s="12">
        <v>68320</v>
      </c>
      <c r="I31" s="12">
        <v>57512</v>
      </c>
      <c r="J31" s="12">
        <v>0</v>
      </c>
      <c r="K31" s="12">
        <v>59654.5</v>
      </c>
      <c r="L31" s="12">
        <v>63306.5</v>
      </c>
      <c r="M31" s="12">
        <v>118404</v>
      </c>
      <c r="N31" s="12">
        <v>609920.5</v>
      </c>
      <c r="O31" s="12">
        <v>42408</v>
      </c>
      <c r="P31" s="12">
        <v>34312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76720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686640.5</v>
      </c>
    </row>
    <row r="32" spans="1:37" ht="12.75" customHeight="1" x14ac:dyDescent="0.25">
      <c r="A32" s="28" t="s">
        <v>5</v>
      </c>
      <c r="B32" s="12">
        <v>14500</v>
      </c>
      <c r="C32" s="12">
        <v>14500</v>
      </c>
      <c r="D32" s="12">
        <v>14500</v>
      </c>
      <c r="E32" s="12">
        <v>14500</v>
      </c>
      <c r="F32" s="12">
        <v>0</v>
      </c>
      <c r="G32" s="12">
        <v>14500</v>
      </c>
      <c r="H32" s="12">
        <v>29000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101500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101500</v>
      </c>
    </row>
    <row r="33" spans="1:37" ht="12.75" customHeight="1" x14ac:dyDescent="0.25">
      <c r="A33" s="28" t="s">
        <v>34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14500</v>
      </c>
      <c r="J33" s="12">
        <v>0</v>
      </c>
      <c r="K33" s="12">
        <v>14500</v>
      </c>
      <c r="L33" s="12">
        <v>29000</v>
      </c>
      <c r="M33" s="12">
        <v>14500</v>
      </c>
      <c r="N33" s="12">
        <v>72500</v>
      </c>
      <c r="O33" s="12">
        <v>0</v>
      </c>
      <c r="P33" s="12">
        <v>14500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14500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87000</v>
      </c>
    </row>
    <row r="34" spans="1:37" ht="12.75" customHeight="1" x14ac:dyDescent="0.25">
      <c r="A34" s="28" t="s">
        <v>107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100000</v>
      </c>
      <c r="M34" s="12">
        <v>0</v>
      </c>
      <c r="N34" s="12">
        <v>100000</v>
      </c>
      <c r="O34" s="12">
        <v>25000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25000</v>
      </c>
      <c r="AB34" s="12">
        <v>25000</v>
      </c>
      <c r="AC34" s="12">
        <v>0</v>
      </c>
      <c r="AD34" s="12">
        <v>0</v>
      </c>
      <c r="AE34" s="12">
        <v>0</v>
      </c>
      <c r="AF34" s="12">
        <v>0</v>
      </c>
      <c r="AG34" s="12">
        <v>25000</v>
      </c>
      <c r="AH34" s="12">
        <v>0</v>
      </c>
      <c r="AI34" s="12">
        <v>0</v>
      </c>
      <c r="AJ34" s="12">
        <v>0</v>
      </c>
      <c r="AK34" s="12">
        <v>150000</v>
      </c>
    </row>
    <row r="35" spans="1:37" ht="12.75" customHeight="1" x14ac:dyDescent="0.25">
      <c r="A35" s="28" t="s">
        <v>99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12000</v>
      </c>
      <c r="M35" s="12">
        <v>13000</v>
      </c>
      <c r="N35" s="12">
        <v>25000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25000</v>
      </c>
    </row>
    <row r="36" spans="1:37" ht="12.75" customHeight="1" x14ac:dyDescent="0.25">
      <c r="A36" s="28" t="s">
        <v>6</v>
      </c>
      <c r="B36" s="12">
        <v>5250</v>
      </c>
      <c r="C36" s="12">
        <v>4200</v>
      </c>
      <c r="D36" s="12">
        <v>8400</v>
      </c>
      <c r="E36" s="12">
        <v>4200</v>
      </c>
      <c r="F36" s="12">
        <v>4200</v>
      </c>
      <c r="G36" s="12">
        <v>0</v>
      </c>
      <c r="H36" s="12">
        <v>4200</v>
      </c>
      <c r="I36" s="12">
        <v>1500</v>
      </c>
      <c r="J36" s="12">
        <v>0</v>
      </c>
      <c r="K36" s="12">
        <v>0</v>
      </c>
      <c r="L36" s="12">
        <v>0</v>
      </c>
      <c r="M36" s="12">
        <v>0</v>
      </c>
      <c r="N36" s="12">
        <v>31950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31950</v>
      </c>
    </row>
    <row r="37" spans="1:37" ht="12.75" customHeight="1" x14ac:dyDescent="0.25">
      <c r="A37" s="28" t="s">
        <v>89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1762.5</v>
      </c>
      <c r="J37" s="12">
        <v>3937.5</v>
      </c>
      <c r="K37" s="12">
        <v>0</v>
      </c>
      <c r="L37" s="12">
        <v>0</v>
      </c>
      <c r="M37" s="12">
        <v>0</v>
      </c>
      <c r="N37" s="12">
        <v>5700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5700</v>
      </c>
    </row>
    <row r="38" spans="1:37" ht="12.75" customHeight="1" x14ac:dyDescent="0.25">
      <c r="A38" s="28" t="s">
        <v>12</v>
      </c>
      <c r="B38" s="12">
        <v>28830</v>
      </c>
      <c r="C38" s="12">
        <v>22320</v>
      </c>
      <c r="D38" s="12">
        <v>24800</v>
      </c>
      <c r="E38" s="12">
        <v>19840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95790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95790</v>
      </c>
    </row>
    <row r="39" spans="1:37" ht="12.75" customHeight="1" x14ac:dyDescent="0.25">
      <c r="A39" s="28" t="s">
        <v>7</v>
      </c>
      <c r="B39" s="12">
        <v>22182.36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22182.36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22182.36</v>
      </c>
    </row>
    <row r="40" spans="1:37" ht="12.75" customHeight="1" x14ac:dyDescent="0.25">
      <c r="A40" s="28" t="s">
        <v>35</v>
      </c>
      <c r="B40" s="12">
        <v>24777.599999999999</v>
      </c>
      <c r="C40" s="12">
        <v>24777.599999999999</v>
      </c>
      <c r="D40" s="12">
        <v>0</v>
      </c>
      <c r="E40" s="12">
        <v>49555.199999999997</v>
      </c>
      <c r="F40" s="12">
        <v>24777.599999999999</v>
      </c>
      <c r="G40" s="12">
        <v>24777.599999999999</v>
      </c>
      <c r="H40" s="12">
        <v>24777.599999999999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173443.20000000001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173443.20000000001</v>
      </c>
    </row>
    <row r="41" spans="1:37" ht="12.75" customHeight="1" x14ac:dyDescent="0.25">
      <c r="A41" s="28" t="s">
        <v>36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24777.599999999999</v>
      </c>
      <c r="J41" s="12">
        <v>0</v>
      </c>
      <c r="K41" s="12">
        <v>49555.199999999997</v>
      </c>
      <c r="L41" s="12">
        <v>24777.599999999999</v>
      </c>
      <c r="M41" s="12">
        <v>24777.599999999999</v>
      </c>
      <c r="N41" s="12">
        <v>123888</v>
      </c>
      <c r="O41" s="12">
        <v>24777.599999999999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24777.599999999999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148665.60000000001</v>
      </c>
    </row>
    <row r="42" spans="1:37" ht="12.75" customHeight="1" x14ac:dyDescent="0.25">
      <c r="A42" s="28" t="s">
        <v>55</v>
      </c>
      <c r="B42" s="12">
        <v>0</v>
      </c>
      <c r="C42" s="12">
        <v>165384</v>
      </c>
      <c r="D42" s="12">
        <v>0</v>
      </c>
      <c r="E42" s="12">
        <v>0</v>
      </c>
      <c r="F42" s="12">
        <v>0</v>
      </c>
      <c r="G42" s="12">
        <v>5722.25</v>
      </c>
      <c r="H42" s="12">
        <v>42909</v>
      </c>
      <c r="I42" s="12">
        <v>41456.5</v>
      </c>
      <c r="J42" s="12">
        <v>18810</v>
      </c>
      <c r="K42" s="12">
        <v>20208.5</v>
      </c>
      <c r="L42" s="12">
        <v>6011</v>
      </c>
      <c r="M42" s="12">
        <v>15271</v>
      </c>
      <c r="N42" s="12">
        <v>315772.25</v>
      </c>
      <c r="O42" s="12">
        <v>1370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1370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317142.25</v>
      </c>
    </row>
    <row r="43" spans="1:37" ht="12.75" customHeight="1" x14ac:dyDescent="0.25">
      <c r="A43" s="28" t="s">
        <v>54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176170</v>
      </c>
      <c r="N43" s="12">
        <v>176170</v>
      </c>
      <c r="O43" s="12">
        <v>0</v>
      </c>
      <c r="P43" s="12">
        <v>31017</v>
      </c>
      <c r="Q43" s="12">
        <v>8937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39954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216124</v>
      </c>
    </row>
    <row r="44" spans="1:37" ht="12.75" customHeight="1" x14ac:dyDescent="0.25">
      <c r="A44" s="28" t="s">
        <v>50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12000</v>
      </c>
      <c r="I44" s="12">
        <v>5000</v>
      </c>
      <c r="J44" s="12">
        <v>0</v>
      </c>
      <c r="K44" s="12">
        <v>0</v>
      </c>
      <c r="L44" s="12">
        <v>0</v>
      </c>
      <c r="M44" s="12">
        <v>4000</v>
      </c>
      <c r="N44" s="12">
        <v>21000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21000</v>
      </c>
    </row>
    <row r="45" spans="1:37" ht="12.75" customHeight="1" x14ac:dyDescent="0.25">
      <c r="A45" s="28" t="s">
        <v>51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3000</v>
      </c>
      <c r="N45" s="12">
        <v>3000</v>
      </c>
      <c r="O45" s="12">
        <v>3000</v>
      </c>
      <c r="P45" s="12">
        <v>3000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6000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9000</v>
      </c>
    </row>
    <row r="46" spans="1:37" ht="12.75" customHeight="1" x14ac:dyDescent="0.25">
      <c r="A46" s="11" t="s">
        <v>41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24777.599999999999</v>
      </c>
      <c r="Q46" s="12">
        <v>192457.60000000001</v>
      </c>
      <c r="R46" s="12">
        <v>289457.59999999998</v>
      </c>
      <c r="S46" s="12">
        <v>289652.59999999998</v>
      </c>
      <c r="T46" s="12">
        <v>199207.6</v>
      </c>
      <c r="U46" s="12">
        <v>147395.85</v>
      </c>
      <c r="V46" s="12">
        <v>132430</v>
      </c>
      <c r="W46" s="12">
        <v>42930</v>
      </c>
      <c r="X46" s="12">
        <v>42930</v>
      </c>
      <c r="Y46" s="12">
        <v>42930</v>
      </c>
      <c r="Z46" s="12">
        <v>36930</v>
      </c>
      <c r="AA46" s="12">
        <v>1441098.85</v>
      </c>
      <c r="AB46" s="12">
        <v>36930</v>
      </c>
      <c r="AC46" s="12">
        <v>0</v>
      </c>
      <c r="AD46" s="12">
        <v>24059</v>
      </c>
      <c r="AE46" s="12">
        <v>60000</v>
      </c>
      <c r="AF46" s="12">
        <v>60000</v>
      </c>
      <c r="AG46" s="12">
        <v>180989</v>
      </c>
      <c r="AH46" s="12">
        <v>60000</v>
      </c>
      <c r="AI46" s="12">
        <v>60000</v>
      </c>
      <c r="AJ46" s="12">
        <v>120000</v>
      </c>
      <c r="AK46" s="12">
        <v>1742087.85</v>
      </c>
    </row>
    <row r="47" spans="1:37" ht="12.75" customHeight="1" x14ac:dyDescent="0.25">
      <c r="A47" s="28" t="s">
        <v>52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55000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55000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55000</v>
      </c>
    </row>
    <row r="48" spans="1:37" ht="12.75" customHeight="1" x14ac:dyDescent="0.25">
      <c r="A48" s="28" t="s">
        <v>130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22000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22000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22000</v>
      </c>
    </row>
    <row r="49" spans="1:37" ht="12.75" customHeight="1" x14ac:dyDescent="0.25">
      <c r="A49" s="28" t="s">
        <v>131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1930</v>
      </c>
      <c r="R49" s="12">
        <v>1930</v>
      </c>
      <c r="S49" s="12">
        <v>1930</v>
      </c>
      <c r="T49" s="12">
        <v>1930</v>
      </c>
      <c r="U49" s="12">
        <v>1930</v>
      </c>
      <c r="V49" s="12">
        <v>1930</v>
      </c>
      <c r="W49" s="12">
        <v>1930</v>
      </c>
      <c r="X49" s="12">
        <v>1930</v>
      </c>
      <c r="Y49" s="12">
        <v>1930</v>
      </c>
      <c r="Z49" s="12">
        <v>1930</v>
      </c>
      <c r="AA49" s="12">
        <v>19300</v>
      </c>
      <c r="AB49" s="12">
        <v>1930</v>
      </c>
      <c r="AC49" s="12">
        <v>0</v>
      </c>
      <c r="AD49" s="12">
        <v>0</v>
      </c>
      <c r="AE49" s="12">
        <v>0</v>
      </c>
      <c r="AF49" s="12">
        <v>0</v>
      </c>
      <c r="AG49" s="12">
        <v>1930</v>
      </c>
      <c r="AH49" s="12">
        <v>0</v>
      </c>
      <c r="AI49" s="12">
        <v>0</v>
      </c>
      <c r="AJ49" s="12">
        <v>0</v>
      </c>
      <c r="AK49" s="12">
        <v>21230</v>
      </c>
    </row>
    <row r="50" spans="1:37" ht="12.75" customHeight="1" x14ac:dyDescent="0.25">
      <c r="A50" s="28" t="s">
        <v>53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3000</v>
      </c>
      <c r="R50" s="12">
        <v>3000</v>
      </c>
      <c r="S50" s="12">
        <v>3000</v>
      </c>
      <c r="T50" s="12">
        <v>3000</v>
      </c>
      <c r="U50" s="12">
        <v>3000</v>
      </c>
      <c r="V50" s="12">
        <v>3000</v>
      </c>
      <c r="W50" s="12">
        <v>3000</v>
      </c>
      <c r="X50" s="12">
        <v>3000</v>
      </c>
      <c r="Y50" s="12">
        <v>3000</v>
      </c>
      <c r="Z50" s="12">
        <v>0</v>
      </c>
      <c r="AA50" s="12">
        <v>27000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27000</v>
      </c>
    </row>
    <row r="51" spans="1:37" ht="12.75" customHeight="1" x14ac:dyDescent="0.25">
      <c r="A51" s="28" t="s">
        <v>46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12000</v>
      </c>
      <c r="R51" s="12">
        <v>12000</v>
      </c>
      <c r="S51" s="12">
        <v>12000</v>
      </c>
      <c r="T51" s="12">
        <v>12000</v>
      </c>
      <c r="U51" s="12">
        <v>12000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60000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60000</v>
      </c>
    </row>
    <row r="52" spans="1:37" ht="12.75" customHeight="1" x14ac:dyDescent="0.25">
      <c r="A52" s="28" t="s">
        <v>100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</row>
    <row r="53" spans="1:37" ht="12.75" customHeight="1" x14ac:dyDescent="0.25">
      <c r="A53" s="28" t="s">
        <v>49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13250</v>
      </c>
      <c r="R53" s="12">
        <v>3250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16500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16500</v>
      </c>
    </row>
    <row r="54" spans="1:37" ht="12.75" customHeight="1" x14ac:dyDescent="0.25">
      <c r="A54" s="28" t="s">
        <v>14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10000</v>
      </c>
      <c r="R54" s="12">
        <v>10000</v>
      </c>
      <c r="S54" s="12">
        <v>10000</v>
      </c>
      <c r="T54" s="12">
        <v>10000</v>
      </c>
      <c r="U54" s="12">
        <v>10000</v>
      </c>
      <c r="V54" s="12">
        <v>10000</v>
      </c>
      <c r="W54" s="12">
        <v>10000</v>
      </c>
      <c r="X54" s="12">
        <v>10000</v>
      </c>
      <c r="Y54" s="12">
        <v>10000</v>
      </c>
      <c r="Z54" s="12">
        <v>10000</v>
      </c>
      <c r="AA54" s="12">
        <v>100000</v>
      </c>
      <c r="AB54" s="12">
        <v>10000</v>
      </c>
      <c r="AC54" s="12">
        <v>0</v>
      </c>
      <c r="AD54" s="12">
        <v>0</v>
      </c>
      <c r="AE54" s="12">
        <v>0</v>
      </c>
      <c r="AF54" s="12">
        <v>0</v>
      </c>
      <c r="AG54" s="12">
        <v>10000</v>
      </c>
      <c r="AH54" s="12">
        <v>0</v>
      </c>
      <c r="AI54" s="12">
        <v>0</v>
      </c>
      <c r="AJ54" s="12">
        <v>0</v>
      </c>
      <c r="AK54" s="12">
        <v>110000</v>
      </c>
    </row>
    <row r="55" spans="1:37" ht="12.75" customHeight="1" x14ac:dyDescent="0.25">
      <c r="A55" s="28" t="s">
        <v>97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50000</v>
      </c>
      <c r="R55" s="12">
        <v>50000</v>
      </c>
      <c r="S55" s="12">
        <v>50000</v>
      </c>
      <c r="T55" s="12">
        <v>50000</v>
      </c>
      <c r="U55" s="12">
        <v>53188.25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253188.25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253188.25</v>
      </c>
    </row>
    <row r="56" spans="1:37" ht="12.75" customHeight="1" x14ac:dyDescent="0.25">
      <c r="A56" s="28" t="s">
        <v>98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60000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60000</v>
      </c>
      <c r="AB56" s="12">
        <v>0</v>
      </c>
      <c r="AC56" s="12">
        <v>0</v>
      </c>
      <c r="AD56" s="12">
        <v>0</v>
      </c>
      <c r="AE56" s="12">
        <v>0</v>
      </c>
      <c r="AF56" s="12">
        <v>60000</v>
      </c>
      <c r="AG56" s="12">
        <v>60000</v>
      </c>
      <c r="AH56" s="12">
        <v>0</v>
      </c>
      <c r="AI56" s="12">
        <v>60000</v>
      </c>
      <c r="AJ56" s="12">
        <v>60000</v>
      </c>
      <c r="AK56" s="12">
        <v>180000</v>
      </c>
    </row>
    <row r="57" spans="1:37" ht="12.75" customHeight="1" x14ac:dyDescent="0.25">
      <c r="A57" s="28" t="s">
        <v>129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60000</v>
      </c>
      <c r="R57" s="12">
        <v>60000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120000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120000</v>
      </c>
    </row>
    <row r="58" spans="1:37" ht="12.75" customHeight="1" x14ac:dyDescent="0.25">
      <c r="A58" s="28" t="s">
        <v>34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14500</v>
      </c>
      <c r="R58" s="12">
        <v>14500</v>
      </c>
      <c r="S58" s="12">
        <v>14500</v>
      </c>
      <c r="T58" s="12">
        <v>14500</v>
      </c>
      <c r="U58" s="12">
        <v>14500</v>
      </c>
      <c r="V58" s="12">
        <v>14500</v>
      </c>
      <c r="W58" s="12">
        <v>0</v>
      </c>
      <c r="X58" s="12">
        <v>0</v>
      </c>
      <c r="Y58" s="12">
        <v>0</v>
      </c>
      <c r="Z58" s="12">
        <v>0</v>
      </c>
      <c r="AA58" s="12">
        <v>87000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87000</v>
      </c>
    </row>
    <row r="59" spans="1:37" ht="12.75" customHeight="1" x14ac:dyDescent="0.25">
      <c r="A59" s="28" t="s">
        <v>107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25000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25000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25000</v>
      </c>
    </row>
    <row r="60" spans="1:37" ht="12.75" customHeight="1" x14ac:dyDescent="0.25">
      <c r="A60" s="28" t="s">
        <v>106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25000</v>
      </c>
      <c r="T60" s="12">
        <v>25000</v>
      </c>
      <c r="U60" s="12">
        <v>25000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75000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75000</v>
      </c>
    </row>
    <row r="61" spans="1:37" ht="12.75" customHeight="1" x14ac:dyDescent="0.25">
      <c r="A61" s="28" t="s">
        <v>105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100000</v>
      </c>
      <c r="W61" s="12">
        <v>25000</v>
      </c>
      <c r="X61" s="12">
        <v>25000</v>
      </c>
      <c r="Y61" s="12">
        <v>25000</v>
      </c>
      <c r="Z61" s="12">
        <v>0</v>
      </c>
      <c r="AA61" s="12">
        <v>175000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175000</v>
      </c>
    </row>
    <row r="62" spans="1:37" ht="12.75" customHeight="1" x14ac:dyDescent="0.25">
      <c r="A62" s="28" t="s">
        <v>108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25000</v>
      </c>
      <c r="AA62" s="12">
        <v>25000</v>
      </c>
      <c r="AB62" s="12">
        <v>25000</v>
      </c>
      <c r="AC62" s="12">
        <v>0</v>
      </c>
      <c r="AD62" s="12">
        <v>24059</v>
      </c>
      <c r="AE62" s="12">
        <v>0</v>
      </c>
      <c r="AF62" s="12">
        <v>0</v>
      </c>
      <c r="AG62" s="12">
        <v>49059</v>
      </c>
      <c r="AH62" s="12">
        <v>0</v>
      </c>
      <c r="AI62" s="12">
        <v>0</v>
      </c>
      <c r="AJ62" s="12">
        <v>0</v>
      </c>
      <c r="AK62" s="12">
        <v>74059</v>
      </c>
    </row>
    <row r="63" spans="1:37" ht="12.75" customHeight="1" x14ac:dyDescent="0.25">
      <c r="A63" s="28" t="s">
        <v>109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60000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60000</v>
      </c>
      <c r="AB63" s="12">
        <v>0</v>
      </c>
      <c r="AC63" s="12">
        <v>0</v>
      </c>
      <c r="AD63" s="12">
        <v>0</v>
      </c>
      <c r="AE63" s="12">
        <v>60000</v>
      </c>
      <c r="AF63" s="12">
        <v>0</v>
      </c>
      <c r="AG63" s="12">
        <v>60000</v>
      </c>
      <c r="AH63" s="12">
        <v>60000</v>
      </c>
      <c r="AI63" s="12">
        <v>0</v>
      </c>
      <c r="AJ63" s="12">
        <v>60000</v>
      </c>
      <c r="AK63" s="12">
        <v>180000</v>
      </c>
    </row>
    <row r="64" spans="1:37" ht="12.75" customHeight="1" x14ac:dyDescent="0.25">
      <c r="A64" s="28" t="s">
        <v>36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24777.599999999999</v>
      </c>
      <c r="Q64" s="12">
        <v>24777.599999999999</v>
      </c>
      <c r="R64" s="12">
        <v>24777.599999999999</v>
      </c>
      <c r="S64" s="12">
        <v>24777.599999999999</v>
      </c>
      <c r="T64" s="12">
        <v>24777.599999999999</v>
      </c>
      <c r="U64" s="12">
        <v>24777.599999999999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148665.60000000001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148665.60000000001</v>
      </c>
    </row>
    <row r="65" spans="1:37" ht="12.75" customHeight="1" x14ac:dyDescent="0.25">
      <c r="A65" s="28" t="s">
        <v>54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30496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30496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30496</v>
      </c>
    </row>
    <row r="66" spans="1:37" ht="12.75" customHeight="1" x14ac:dyDescent="0.25">
      <c r="A66" s="28" t="s">
        <v>133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54949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54949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54949</v>
      </c>
    </row>
    <row r="67" spans="1:37" ht="12.75" customHeight="1" x14ac:dyDescent="0.25">
      <c r="A67" s="28" t="s">
        <v>51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3000</v>
      </c>
      <c r="R67" s="12">
        <v>3000</v>
      </c>
      <c r="S67" s="12">
        <v>3000</v>
      </c>
      <c r="T67" s="12">
        <v>3000</v>
      </c>
      <c r="U67" s="12">
        <v>3000</v>
      </c>
      <c r="V67" s="12">
        <v>3000</v>
      </c>
      <c r="W67" s="12">
        <v>3000</v>
      </c>
      <c r="X67" s="12">
        <v>3000</v>
      </c>
      <c r="Y67" s="12">
        <v>3000</v>
      </c>
      <c r="Z67" s="12">
        <v>0</v>
      </c>
      <c r="AA67" s="12">
        <v>27000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27000</v>
      </c>
    </row>
    <row r="68" spans="1:37" ht="12.75" customHeight="1" x14ac:dyDescent="0.25">
      <c r="A68" s="11" t="s">
        <v>42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60000</v>
      </c>
      <c r="T68" s="12">
        <v>60000</v>
      </c>
      <c r="U68" s="12">
        <v>60000</v>
      </c>
      <c r="V68" s="12">
        <v>60000</v>
      </c>
      <c r="W68" s="12">
        <v>60000</v>
      </c>
      <c r="X68" s="12">
        <v>60000</v>
      </c>
      <c r="Y68" s="12">
        <v>60000</v>
      </c>
      <c r="Z68" s="12">
        <v>60000</v>
      </c>
      <c r="AA68" s="12">
        <v>480000</v>
      </c>
      <c r="AB68" s="12">
        <v>60000</v>
      </c>
      <c r="AC68" s="12">
        <v>60000</v>
      </c>
      <c r="AD68" s="12">
        <v>60000</v>
      </c>
      <c r="AE68" s="12">
        <v>60000</v>
      </c>
      <c r="AF68" s="12">
        <v>0</v>
      </c>
      <c r="AG68" s="12">
        <v>240000</v>
      </c>
      <c r="AH68" s="12">
        <v>0</v>
      </c>
      <c r="AI68" s="12">
        <v>0</v>
      </c>
      <c r="AJ68" s="12">
        <v>0</v>
      </c>
      <c r="AK68" s="12">
        <v>720000</v>
      </c>
    </row>
    <row r="69" spans="1:37" ht="12.75" customHeight="1" x14ac:dyDescent="0.25">
      <c r="A69" s="28" t="s">
        <v>132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60000</v>
      </c>
      <c r="T69" s="12">
        <v>60000</v>
      </c>
      <c r="U69" s="12">
        <v>60000</v>
      </c>
      <c r="V69" s="12">
        <v>60000</v>
      </c>
      <c r="W69" s="12">
        <v>60000</v>
      </c>
      <c r="X69" s="12">
        <v>60000</v>
      </c>
      <c r="Y69" s="12">
        <v>60000</v>
      </c>
      <c r="Z69" s="12">
        <v>60000</v>
      </c>
      <c r="AA69" s="12">
        <v>480000</v>
      </c>
      <c r="AB69" s="12">
        <v>60000</v>
      </c>
      <c r="AC69" s="12">
        <v>60000</v>
      </c>
      <c r="AD69" s="12">
        <v>60000</v>
      </c>
      <c r="AE69" s="12">
        <v>60000</v>
      </c>
      <c r="AF69" s="12">
        <v>0</v>
      </c>
      <c r="AG69" s="12">
        <v>240000</v>
      </c>
      <c r="AH69" s="12">
        <v>0</v>
      </c>
      <c r="AI69" s="12">
        <v>0</v>
      </c>
      <c r="AJ69" s="12">
        <v>0</v>
      </c>
      <c r="AK69" s="12">
        <v>720000</v>
      </c>
    </row>
    <row r="70" spans="1:37" ht="12.75" customHeight="1" x14ac:dyDescent="0.25">
      <c r="A70" s="11" t="s">
        <v>29</v>
      </c>
      <c r="B70" s="12">
        <v>276138.86</v>
      </c>
      <c r="C70" s="12">
        <v>353659.1</v>
      </c>
      <c r="D70" s="12">
        <v>275252.47999999998</v>
      </c>
      <c r="E70" s="12">
        <v>212032.7</v>
      </c>
      <c r="F70" s="12">
        <v>192782.4</v>
      </c>
      <c r="G70" s="12">
        <v>116067.4</v>
      </c>
      <c r="H70" s="12">
        <v>325181</v>
      </c>
      <c r="I70" s="12">
        <v>185438.6</v>
      </c>
      <c r="J70" s="12">
        <v>108977.5</v>
      </c>
      <c r="K70" s="12">
        <v>274333.2</v>
      </c>
      <c r="L70" s="12">
        <v>424510.1</v>
      </c>
      <c r="M70" s="12">
        <v>644669.90999999992</v>
      </c>
      <c r="N70" s="12">
        <v>3389043.25</v>
      </c>
      <c r="O70" s="12">
        <v>637897.35</v>
      </c>
      <c r="P70" s="12">
        <v>204430</v>
      </c>
      <c r="Q70" s="12">
        <v>201394.6</v>
      </c>
      <c r="R70" s="12">
        <v>289457.59999999998</v>
      </c>
      <c r="S70" s="12">
        <v>349652.6</v>
      </c>
      <c r="T70" s="12">
        <v>259207.6</v>
      </c>
      <c r="U70" s="12">
        <v>207395.85</v>
      </c>
      <c r="V70" s="12">
        <v>192430</v>
      </c>
      <c r="W70" s="12">
        <v>102930</v>
      </c>
      <c r="X70" s="12">
        <v>102930</v>
      </c>
      <c r="Y70" s="12">
        <v>102930</v>
      </c>
      <c r="Z70" s="12">
        <v>96930</v>
      </c>
      <c r="AA70" s="12">
        <v>2747585.6</v>
      </c>
      <c r="AB70" s="12">
        <v>121930</v>
      </c>
      <c r="AC70" s="12">
        <v>60000</v>
      </c>
      <c r="AD70" s="12">
        <v>84059</v>
      </c>
      <c r="AE70" s="12">
        <v>120000</v>
      </c>
      <c r="AF70" s="12">
        <v>60000</v>
      </c>
      <c r="AG70" s="12">
        <v>445989</v>
      </c>
      <c r="AH70" s="12">
        <v>60000</v>
      </c>
      <c r="AI70" s="12">
        <v>60000</v>
      </c>
      <c r="AJ70" s="12">
        <v>120000</v>
      </c>
      <c r="AK70" s="12">
        <v>6702617.8499999996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CE19-647A-4103-A6EF-88732D77D231}">
  <dimension ref="A1:AK43"/>
  <sheetViews>
    <sheetView tabSelected="1" workbookViewId="0">
      <selection activeCell="H30" sqref="H30"/>
    </sheetView>
  </sheetViews>
  <sheetFormatPr defaultRowHeight="12.75" customHeight="1" x14ac:dyDescent="0.25"/>
  <cols>
    <col min="1" max="1" width="22.140625" style="9" bestFit="1" customWidth="1"/>
    <col min="2" max="36" width="9.7109375" style="9" customWidth="1"/>
    <col min="37" max="16384" width="9.140625" style="9"/>
  </cols>
  <sheetData>
    <row r="1" spans="1:37" ht="12.75" customHeight="1" x14ac:dyDescent="0.25">
      <c r="A1"/>
      <c r="B1"/>
    </row>
    <row r="3" spans="1:37" ht="12.75" customHeight="1" x14ac:dyDescent="0.25">
      <c r="A3" s="8" t="s">
        <v>31</v>
      </c>
      <c r="B3" s="8" t="s">
        <v>30</v>
      </c>
    </row>
    <row r="4" spans="1:37" ht="12.75" customHeight="1" x14ac:dyDescent="0.25">
      <c r="B4" s="10">
        <v>2025</v>
      </c>
      <c r="N4" s="10" t="s">
        <v>101</v>
      </c>
      <c r="O4" s="10">
        <v>2026</v>
      </c>
      <c r="AA4" s="10" t="s">
        <v>102</v>
      </c>
      <c r="AB4" s="10">
        <v>2027</v>
      </c>
      <c r="AG4" s="10" t="s">
        <v>103</v>
      </c>
      <c r="AH4" s="10">
        <v>2028</v>
      </c>
      <c r="AJ4" s="10" t="s">
        <v>104</v>
      </c>
      <c r="AK4" s="17" t="s">
        <v>29</v>
      </c>
    </row>
    <row r="5" spans="1:37" ht="12.75" customHeight="1" x14ac:dyDescent="0.25">
      <c r="A5" s="8" t="s">
        <v>43</v>
      </c>
      <c r="B5" s="17">
        <v>1</v>
      </c>
      <c r="C5" s="17">
        <v>2</v>
      </c>
      <c r="D5" s="17">
        <v>3</v>
      </c>
      <c r="E5" s="17">
        <v>4</v>
      </c>
      <c r="F5" s="17">
        <v>5</v>
      </c>
      <c r="G5" s="17">
        <v>6</v>
      </c>
      <c r="H5" s="17">
        <v>7</v>
      </c>
      <c r="I5" s="17">
        <v>8</v>
      </c>
      <c r="J5" s="17">
        <v>9</v>
      </c>
      <c r="K5" s="17">
        <v>10</v>
      </c>
      <c r="L5" s="17">
        <v>11</v>
      </c>
      <c r="M5" s="17">
        <v>12</v>
      </c>
      <c r="O5" s="17">
        <v>1</v>
      </c>
      <c r="P5" s="17">
        <v>2</v>
      </c>
      <c r="Q5" s="17">
        <v>3</v>
      </c>
      <c r="R5" s="17">
        <v>4</v>
      </c>
      <c r="S5" s="17">
        <v>5</v>
      </c>
      <c r="T5" s="17">
        <v>6</v>
      </c>
      <c r="U5" s="17">
        <v>7</v>
      </c>
      <c r="V5" s="17">
        <v>8</v>
      </c>
      <c r="W5" s="17">
        <v>9</v>
      </c>
      <c r="X5" s="17">
        <v>10</v>
      </c>
      <c r="Y5" s="17">
        <v>11</v>
      </c>
      <c r="Z5" s="17">
        <v>12</v>
      </c>
      <c r="AB5" s="17">
        <v>1</v>
      </c>
      <c r="AC5" s="17">
        <v>2</v>
      </c>
      <c r="AD5" s="17">
        <v>3</v>
      </c>
      <c r="AE5" s="17">
        <v>4</v>
      </c>
      <c r="AF5" s="17">
        <v>5</v>
      </c>
      <c r="AH5" s="17">
        <v>4</v>
      </c>
      <c r="AI5" s="17">
        <v>5</v>
      </c>
      <c r="AK5" s="31"/>
    </row>
    <row r="6" spans="1:37" ht="12.75" customHeight="1" x14ac:dyDescent="0.25">
      <c r="A6" s="11" t="s">
        <v>64</v>
      </c>
      <c r="B6" s="12">
        <v>0</v>
      </c>
      <c r="C6" s="12">
        <v>50000</v>
      </c>
      <c r="D6" s="12">
        <v>126292.98</v>
      </c>
      <c r="E6" s="12">
        <v>36377.5</v>
      </c>
      <c r="F6" s="12">
        <v>0</v>
      </c>
      <c r="G6" s="12">
        <v>40314.5</v>
      </c>
      <c r="H6" s="12">
        <v>69000</v>
      </c>
      <c r="I6" s="12">
        <v>81277.600000000006</v>
      </c>
      <c r="J6" s="12">
        <v>22000</v>
      </c>
      <c r="K6" s="12">
        <v>86055.2</v>
      </c>
      <c r="L6" s="12">
        <v>181027.6</v>
      </c>
      <c r="M6" s="12">
        <v>300694.91000000003</v>
      </c>
      <c r="N6" s="12">
        <v>993040.29</v>
      </c>
      <c r="O6" s="12">
        <v>577013.6</v>
      </c>
      <c r="P6" s="12">
        <v>80528</v>
      </c>
      <c r="Q6" s="12">
        <v>70527.600000000006</v>
      </c>
      <c r="R6" s="12">
        <v>167527.6</v>
      </c>
      <c r="S6" s="12">
        <v>82277.600000000006</v>
      </c>
      <c r="T6" s="12">
        <v>137277.6</v>
      </c>
      <c r="U6" s="12">
        <v>82277.600000000006</v>
      </c>
      <c r="V6" s="12">
        <v>120500</v>
      </c>
      <c r="W6" s="12">
        <v>31000</v>
      </c>
      <c r="X6" s="12">
        <v>31000</v>
      </c>
      <c r="Y6" s="12">
        <v>31000</v>
      </c>
      <c r="Z6" s="12">
        <v>25000</v>
      </c>
      <c r="AA6" s="12">
        <v>1435929.5999999999</v>
      </c>
      <c r="AB6" s="12">
        <v>50000</v>
      </c>
      <c r="AC6" s="12">
        <v>0</v>
      </c>
      <c r="AD6" s="12">
        <v>24059</v>
      </c>
      <c r="AE6" s="12">
        <v>60000</v>
      </c>
      <c r="AF6" s="12">
        <v>0</v>
      </c>
      <c r="AG6" s="12">
        <v>134059</v>
      </c>
      <c r="AH6" s="12">
        <v>60000</v>
      </c>
      <c r="AI6" s="12">
        <v>0</v>
      </c>
      <c r="AJ6" s="12">
        <v>60000</v>
      </c>
      <c r="AK6" s="12">
        <v>2623028.8899999997</v>
      </c>
    </row>
    <row r="7" spans="1:37" ht="12.75" customHeight="1" x14ac:dyDescent="0.25">
      <c r="A7" s="28" t="s">
        <v>66</v>
      </c>
      <c r="B7" s="12">
        <v>0</v>
      </c>
      <c r="C7" s="12">
        <v>0</v>
      </c>
      <c r="D7" s="12">
        <v>0</v>
      </c>
      <c r="E7" s="12">
        <v>25000</v>
      </c>
      <c r="F7" s="12">
        <v>0</v>
      </c>
      <c r="G7" s="12">
        <v>0</v>
      </c>
      <c r="H7" s="12">
        <v>69000</v>
      </c>
      <c r="I7" s="12">
        <v>42000</v>
      </c>
      <c r="J7" s="12">
        <v>22000</v>
      </c>
      <c r="K7" s="12">
        <v>22000</v>
      </c>
      <c r="L7" s="12">
        <v>24000</v>
      </c>
      <c r="M7" s="12">
        <v>63000</v>
      </c>
      <c r="N7" s="12">
        <v>267000</v>
      </c>
      <c r="O7" s="12">
        <v>18000</v>
      </c>
      <c r="P7" s="12">
        <v>18000</v>
      </c>
      <c r="Q7" s="12">
        <v>18000</v>
      </c>
      <c r="R7" s="12">
        <v>40000</v>
      </c>
      <c r="S7" s="12">
        <v>18000</v>
      </c>
      <c r="T7" s="12">
        <v>18000</v>
      </c>
      <c r="U7" s="12">
        <v>18000</v>
      </c>
      <c r="V7" s="12">
        <v>6000</v>
      </c>
      <c r="W7" s="12">
        <v>6000</v>
      </c>
      <c r="X7" s="12">
        <v>6000</v>
      </c>
      <c r="Y7" s="12">
        <v>6000</v>
      </c>
      <c r="Z7" s="12">
        <v>0</v>
      </c>
      <c r="AA7" s="12">
        <v>172000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439000</v>
      </c>
    </row>
    <row r="8" spans="1:37" ht="12.75" customHeight="1" x14ac:dyDescent="0.25">
      <c r="A8" s="28" t="s">
        <v>68</v>
      </c>
      <c r="B8" s="12">
        <v>0</v>
      </c>
      <c r="C8" s="12">
        <v>50000</v>
      </c>
      <c r="D8" s="12">
        <v>126292.98</v>
      </c>
      <c r="E8" s="12">
        <v>11377.5</v>
      </c>
      <c r="F8" s="12">
        <v>0</v>
      </c>
      <c r="G8" s="12">
        <v>30327.5</v>
      </c>
      <c r="H8" s="12">
        <v>0</v>
      </c>
      <c r="I8" s="12">
        <v>0</v>
      </c>
      <c r="J8" s="12">
        <v>0</v>
      </c>
      <c r="K8" s="12">
        <v>0</v>
      </c>
      <c r="L8" s="12">
        <v>103250</v>
      </c>
      <c r="M8" s="12">
        <v>53417.31</v>
      </c>
      <c r="N8" s="12">
        <v>374665.29</v>
      </c>
      <c r="O8" s="12">
        <v>534236</v>
      </c>
      <c r="P8" s="12">
        <v>23250.400000000001</v>
      </c>
      <c r="Q8" s="12">
        <v>13250</v>
      </c>
      <c r="R8" s="12">
        <v>88250</v>
      </c>
      <c r="S8" s="12">
        <v>25000</v>
      </c>
      <c r="T8" s="12">
        <v>25000</v>
      </c>
      <c r="U8" s="12">
        <v>25000</v>
      </c>
      <c r="V8" s="12">
        <v>100000</v>
      </c>
      <c r="W8" s="12">
        <v>25000</v>
      </c>
      <c r="X8" s="12">
        <v>25000</v>
      </c>
      <c r="Y8" s="12">
        <v>25000</v>
      </c>
      <c r="Z8" s="12">
        <v>25000</v>
      </c>
      <c r="AA8" s="12">
        <v>933986.4</v>
      </c>
      <c r="AB8" s="12">
        <v>50000</v>
      </c>
      <c r="AC8" s="12">
        <v>0</v>
      </c>
      <c r="AD8" s="12">
        <v>24059</v>
      </c>
      <c r="AE8" s="12">
        <v>60000</v>
      </c>
      <c r="AF8" s="12">
        <v>0</v>
      </c>
      <c r="AG8" s="12">
        <v>134059</v>
      </c>
      <c r="AH8" s="12">
        <v>60000</v>
      </c>
      <c r="AI8" s="12">
        <v>0</v>
      </c>
      <c r="AJ8" s="12">
        <v>60000</v>
      </c>
      <c r="AK8" s="12">
        <v>1502710.69</v>
      </c>
    </row>
    <row r="9" spans="1:37" ht="12.75" customHeight="1" x14ac:dyDescent="0.25">
      <c r="A9" s="28" t="s">
        <v>62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9987</v>
      </c>
      <c r="H9" s="12">
        <v>0</v>
      </c>
      <c r="I9" s="12">
        <v>39277.599999999999</v>
      </c>
      <c r="J9" s="12">
        <v>0</v>
      </c>
      <c r="K9" s="12">
        <v>64055.199999999997</v>
      </c>
      <c r="L9" s="12">
        <v>53777.599999999999</v>
      </c>
      <c r="M9" s="12">
        <v>184277.6</v>
      </c>
      <c r="N9" s="12">
        <v>351375</v>
      </c>
      <c r="O9" s="12">
        <v>24777.599999999999</v>
      </c>
      <c r="P9" s="12">
        <v>39277.599999999999</v>
      </c>
      <c r="Q9" s="12">
        <v>39277.599999999999</v>
      </c>
      <c r="R9" s="12">
        <v>39277.599999999999</v>
      </c>
      <c r="S9" s="12">
        <v>39277.599999999999</v>
      </c>
      <c r="T9" s="12">
        <v>94277.6</v>
      </c>
      <c r="U9" s="12">
        <v>39277.599999999999</v>
      </c>
      <c r="V9" s="12">
        <v>14500</v>
      </c>
      <c r="W9" s="12">
        <v>0</v>
      </c>
      <c r="X9" s="12">
        <v>0</v>
      </c>
      <c r="Y9" s="12">
        <v>0</v>
      </c>
      <c r="Z9" s="12">
        <v>0</v>
      </c>
      <c r="AA9" s="12">
        <v>329943.19999999995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681318.19999999984</v>
      </c>
    </row>
    <row r="10" spans="1:37" ht="12.75" customHeight="1" x14ac:dyDescent="0.25">
      <c r="A10" s="11" t="s">
        <v>61</v>
      </c>
      <c r="B10" s="12">
        <v>276138.86</v>
      </c>
      <c r="C10" s="12">
        <v>303659.09999999998</v>
      </c>
      <c r="D10" s="12">
        <v>148959.5</v>
      </c>
      <c r="E10" s="12">
        <v>175655.2</v>
      </c>
      <c r="F10" s="12">
        <v>192782.4</v>
      </c>
      <c r="G10" s="12">
        <v>75752.899999999994</v>
      </c>
      <c r="H10" s="12">
        <v>256181</v>
      </c>
      <c r="I10" s="12">
        <v>104161</v>
      </c>
      <c r="J10" s="12">
        <v>86977.5</v>
      </c>
      <c r="K10" s="12">
        <v>188278</v>
      </c>
      <c r="L10" s="12">
        <v>243482.5</v>
      </c>
      <c r="M10" s="12">
        <v>343975</v>
      </c>
      <c r="N10" s="12">
        <v>2396002.96</v>
      </c>
      <c r="O10" s="12">
        <v>60883.75</v>
      </c>
      <c r="P10" s="12">
        <v>123902</v>
      </c>
      <c r="Q10" s="12">
        <v>130867</v>
      </c>
      <c r="R10" s="12">
        <v>121930</v>
      </c>
      <c r="S10" s="12">
        <v>267375</v>
      </c>
      <c r="T10" s="12">
        <v>121930</v>
      </c>
      <c r="U10" s="12">
        <v>125118.25</v>
      </c>
      <c r="V10" s="12">
        <v>71930</v>
      </c>
      <c r="W10" s="12">
        <v>71930</v>
      </c>
      <c r="X10" s="12">
        <v>71930</v>
      </c>
      <c r="Y10" s="12">
        <v>71930</v>
      </c>
      <c r="Z10" s="12">
        <v>71930</v>
      </c>
      <c r="AA10" s="12">
        <v>1311656</v>
      </c>
      <c r="AB10" s="12">
        <v>71930</v>
      </c>
      <c r="AC10" s="12">
        <v>60000</v>
      </c>
      <c r="AD10" s="12">
        <v>60000</v>
      </c>
      <c r="AE10" s="12">
        <v>60000</v>
      </c>
      <c r="AF10" s="12">
        <v>60000</v>
      </c>
      <c r="AG10" s="12">
        <v>311930</v>
      </c>
      <c r="AH10" s="12">
        <v>0</v>
      </c>
      <c r="AI10" s="12">
        <v>60000</v>
      </c>
      <c r="AJ10" s="12">
        <v>60000</v>
      </c>
      <c r="AK10" s="12">
        <v>4079588.96</v>
      </c>
    </row>
    <row r="11" spans="1:37" ht="12.75" customHeight="1" x14ac:dyDescent="0.25">
      <c r="A11" s="28" t="s">
        <v>66</v>
      </c>
      <c r="B11" s="12">
        <v>33027.360000000001</v>
      </c>
      <c r="C11" s="12">
        <v>175934</v>
      </c>
      <c r="D11" s="12">
        <v>0</v>
      </c>
      <c r="E11" s="12">
        <v>495</v>
      </c>
      <c r="F11" s="12">
        <v>2628.8</v>
      </c>
      <c r="G11" s="12">
        <v>22769.05</v>
      </c>
      <c r="H11" s="12">
        <v>73633.399999999994</v>
      </c>
      <c r="I11" s="12">
        <v>41456.5</v>
      </c>
      <c r="J11" s="12">
        <v>22110</v>
      </c>
      <c r="K11" s="12">
        <v>22408.5</v>
      </c>
      <c r="L11" s="12">
        <v>8211</v>
      </c>
      <c r="M11" s="12">
        <v>193641</v>
      </c>
      <c r="N11" s="12">
        <v>596314.61</v>
      </c>
      <c r="O11" s="12">
        <v>3570</v>
      </c>
      <c r="P11" s="12">
        <v>33217</v>
      </c>
      <c r="Q11" s="12">
        <v>8937</v>
      </c>
      <c r="R11" s="12">
        <v>0</v>
      </c>
      <c r="S11" s="12">
        <v>85445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131169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727483.61</v>
      </c>
    </row>
    <row r="12" spans="1:37" ht="12.75" customHeight="1" x14ac:dyDescent="0.25">
      <c r="A12" s="28" t="s">
        <v>68</v>
      </c>
      <c r="B12" s="12">
        <v>80791.899999999994</v>
      </c>
      <c r="C12" s="12">
        <v>26087.5</v>
      </c>
      <c r="D12" s="12">
        <v>37975</v>
      </c>
      <c r="E12" s="12">
        <v>30025</v>
      </c>
      <c r="F12" s="12">
        <v>24950</v>
      </c>
      <c r="G12" s="12">
        <v>13706.25</v>
      </c>
      <c r="H12" s="12">
        <v>15950</v>
      </c>
      <c r="I12" s="12">
        <v>5192.5</v>
      </c>
      <c r="J12" s="12">
        <v>7367.5</v>
      </c>
      <c r="K12" s="12">
        <v>2680</v>
      </c>
      <c r="L12" s="12">
        <v>1930</v>
      </c>
      <c r="M12" s="12">
        <v>1930</v>
      </c>
      <c r="N12" s="12">
        <v>248585.65</v>
      </c>
      <c r="O12" s="12">
        <v>1930</v>
      </c>
      <c r="P12" s="12">
        <v>1930</v>
      </c>
      <c r="Q12" s="12">
        <v>1930</v>
      </c>
      <c r="R12" s="12">
        <v>1930</v>
      </c>
      <c r="S12" s="12">
        <v>1930</v>
      </c>
      <c r="T12" s="12">
        <v>1930</v>
      </c>
      <c r="U12" s="12">
        <v>1930</v>
      </c>
      <c r="V12" s="12">
        <v>1930</v>
      </c>
      <c r="W12" s="12">
        <v>1930</v>
      </c>
      <c r="X12" s="12">
        <v>1930</v>
      </c>
      <c r="Y12" s="12">
        <v>1930</v>
      </c>
      <c r="Z12" s="12">
        <v>1930</v>
      </c>
      <c r="AA12" s="12">
        <v>23160</v>
      </c>
      <c r="AB12" s="12">
        <v>1930</v>
      </c>
      <c r="AC12" s="12">
        <v>0</v>
      </c>
      <c r="AD12" s="12">
        <v>0</v>
      </c>
      <c r="AE12" s="12">
        <v>0</v>
      </c>
      <c r="AF12" s="12">
        <v>0</v>
      </c>
      <c r="AG12" s="12">
        <v>1930</v>
      </c>
      <c r="AH12" s="12">
        <v>0</v>
      </c>
      <c r="AI12" s="12">
        <v>0</v>
      </c>
      <c r="AJ12" s="12">
        <v>0</v>
      </c>
      <c r="AK12" s="12">
        <v>273675.65000000002</v>
      </c>
    </row>
    <row r="13" spans="1:37" ht="12.75" customHeight="1" x14ac:dyDescent="0.25">
      <c r="A13" s="28" t="s">
        <v>62</v>
      </c>
      <c r="B13" s="12">
        <v>162319.6</v>
      </c>
      <c r="C13" s="12">
        <v>101637.6</v>
      </c>
      <c r="D13" s="12">
        <v>110984.5</v>
      </c>
      <c r="E13" s="12">
        <v>145135.20000000001</v>
      </c>
      <c r="F13" s="12">
        <v>165203.6</v>
      </c>
      <c r="G13" s="12">
        <v>39277.599999999999</v>
      </c>
      <c r="H13" s="12">
        <v>166597.6</v>
      </c>
      <c r="I13" s="12">
        <v>57512</v>
      </c>
      <c r="J13" s="12">
        <v>57500</v>
      </c>
      <c r="K13" s="12">
        <v>163189.5</v>
      </c>
      <c r="L13" s="12">
        <v>233341.5</v>
      </c>
      <c r="M13" s="12">
        <v>148404</v>
      </c>
      <c r="N13" s="12">
        <v>1551102.7</v>
      </c>
      <c r="O13" s="12">
        <v>55383.75</v>
      </c>
      <c r="P13" s="12">
        <v>88755</v>
      </c>
      <c r="Q13" s="12">
        <v>120000</v>
      </c>
      <c r="R13" s="12">
        <v>120000</v>
      </c>
      <c r="S13" s="12">
        <v>180000</v>
      </c>
      <c r="T13" s="12">
        <v>120000</v>
      </c>
      <c r="U13" s="12">
        <v>123188.25</v>
      </c>
      <c r="V13" s="12">
        <v>70000</v>
      </c>
      <c r="W13" s="12">
        <v>70000</v>
      </c>
      <c r="X13" s="12">
        <v>70000</v>
      </c>
      <c r="Y13" s="12">
        <v>70000</v>
      </c>
      <c r="Z13" s="12">
        <v>70000</v>
      </c>
      <c r="AA13" s="12">
        <v>1157327</v>
      </c>
      <c r="AB13" s="12">
        <v>70000</v>
      </c>
      <c r="AC13" s="12">
        <v>60000</v>
      </c>
      <c r="AD13" s="12">
        <v>60000</v>
      </c>
      <c r="AE13" s="12">
        <v>60000</v>
      </c>
      <c r="AF13" s="12">
        <v>60000</v>
      </c>
      <c r="AG13" s="12">
        <v>310000</v>
      </c>
      <c r="AH13" s="12">
        <v>0</v>
      </c>
      <c r="AI13" s="12">
        <v>60000</v>
      </c>
      <c r="AJ13" s="12">
        <v>60000</v>
      </c>
      <c r="AK13" s="12">
        <v>3078429.7</v>
      </c>
    </row>
    <row r="14" spans="1:37" ht="12.75" customHeight="1" x14ac:dyDescent="0.25">
      <c r="A14" s="11" t="s">
        <v>29</v>
      </c>
      <c r="B14" s="12">
        <v>276138.86</v>
      </c>
      <c r="C14" s="12">
        <v>353659.1</v>
      </c>
      <c r="D14" s="12">
        <v>275252.47999999998</v>
      </c>
      <c r="E14" s="12">
        <v>212032.7</v>
      </c>
      <c r="F14" s="12">
        <v>192782.4</v>
      </c>
      <c r="G14" s="12">
        <v>116067.4</v>
      </c>
      <c r="H14" s="12">
        <v>325181</v>
      </c>
      <c r="I14" s="12">
        <v>185438.6</v>
      </c>
      <c r="J14" s="12">
        <v>108977.5</v>
      </c>
      <c r="K14" s="12">
        <v>274333.2</v>
      </c>
      <c r="L14" s="12">
        <v>424510.1</v>
      </c>
      <c r="M14" s="12">
        <v>644669.91</v>
      </c>
      <c r="N14" s="12">
        <v>3389043.25</v>
      </c>
      <c r="O14" s="47">
        <v>637897.35</v>
      </c>
      <c r="P14" s="47">
        <v>204430</v>
      </c>
      <c r="Q14" s="47">
        <v>201394.6</v>
      </c>
      <c r="R14" s="12">
        <v>289457.59999999998</v>
      </c>
      <c r="S14" s="12">
        <v>349652.6</v>
      </c>
      <c r="T14" s="12">
        <v>259207.6</v>
      </c>
      <c r="U14" s="12">
        <v>207395.85</v>
      </c>
      <c r="V14" s="12">
        <v>192430</v>
      </c>
      <c r="W14" s="12">
        <v>102930</v>
      </c>
      <c r="X14" s="12">
        <v>102930</v>
      </c>
      <c r="Y14" s="12">
        <v>102930</v>
      </c>
      <c r="Z14" s="12">
        <v>96930</v>
      </c>
      <c r="AA14" s="12">
        <v>2747585.5999999996</v>
      </c>
      <c r="AB14" s="12">
        <v>121930</v>
      </c>
      <c r="AC14" s="12">
        <v>60000</v>
      </c>
      <c r="AD14" s="12">
        <v>84059</v>
      </c>
      <c r="AE14" s="12">
        <v>120000</v>
      </c>
      <c r="AF14" s="12">
        <v>60000</v>
      </c>
      <c r="AG14" s="12">
        <v>445989</v>
      </c>
      <c r="AH14" s="12">
        <v>60000</v>
      </c>
      <c r="AI14" s="12">
        <v>60000</v>
      </c>
      <c r="AJ14" s="12">
        <v>120000</v>
      </c>
      <c r="AK14" s="12">
        <v>6702617.8499999996</v>
      </c>
    </row>
    <row r="16" spans="1:37" ht="12.75" customHeight="1" x14ac:dyDescent="0.25">
      <c r="A16" s="36" t="s">
        <v>43</v>
      </c>
      <c r="B16" s="37">
        <v>1</v>
      </c>
      <c r="C16" s="37">
        <v>2</v>
      </c>
      <c r="D16" s="37">
        <v>3</v>
      </c>
      <c r="E16" s="37">
        <v>4</v>
      </c>
      <c r="F16" s="37">
        <v>5</v>
      </c>
      <c r="G16" s="37">
        <v>6</v>
      </c>
      <c r="H16" s="37">
        <v>7</v>
      </c>
      <c r="I16" s="37">
        <v>8</v>
      </c>
      <c r="J16" s="37">
        <v>9</v>
      </c>
      <c r="K16" s="37">
        <v>10</v>
      </c>
      <c r="L16" s="37">
        <v>11</v>
      </c>
      <c r="M16" s="37">
        <v>12</v>
      </c>
      <c r="N16" s="50"/>
      <c r="O16" s="37">
        <v>1</v>
      </c>
      <c r="P16" s="37">
        <v>2</v>
      </c>
      <c r="Q16" s="37">
        <v>3</v>
      </c>
      <c r="R16" s="37">
        <v>4</v>
      </c>
      <c r="S16" s="37">
        <v>5</v>
      </c>
      <c r="T16" s="37">
        <v>6</v>
      </c>
      <c r="U16" s="37">
        <v>7</v>
      </c>
      <c r="V16" s="37">
        <v>8</v>
      </c>
      <c r="W16" s="37">
        <v>9</v>
      </c>
      <c r="X16" s="37">
        <v>10</v>
      </c>
      <c r="Y16" s="37">
        <v>11</v>
      </c>
      <c r="Z16" s="37">
        <v>12</v>
      </c>
      <c r="AA16" s="50"/>
    </row>
    <row r="17" spans="1:27" ht="12.75" customHeight="1" x14ac:dyDescent="0.25">
      <c r="A17" s="38" t="s">
        <v>64</v>
      </c>
      <c r="B17" s="39">
        <v>0</v>
      </c>
      <c r="C17" s="39">
        <v>50000</v>
      </c>
      <c r="D17" s="39">
        <v>126292.98</v>
      </c>
      <c r="E17" s="39">
        <v>36377.5</v>
      </c>
      <c r="F17" s="39">
        <v>0</v>
      </c>
      <c r="G17" s="39">
        <v>40314.5</v>
      </c>
      <c r="H17" s="39">
        <v>69000</v>
      </c>
      <c r="I17" s="39">
        <v>81277.600000000006</v>
      </c>
      <c r="J17" s="39">
        <v>22000</v>
      </c>
      <c r="K17" s="39">
        <v>86055.2</v>
      </c>
      <c r="L17" s="39">
        <v>181027.6</v>
      </c>
      <c r="M17" s="39">
        <v>412777.6</v>
      </c>
      <c r="N17" s="51">
        <v>1105122.98</v>
      </c>
      <c r="O17" s="39">
        <v>100527.6</v>
      </c>
      <c r="P17" s="39">
        <v>60527.6</v>
      </c>
      <c r="Q17" s="39">
        <v>201527.6</v>
      </c>
      <c r="R17" s="39">
        <v>266527.59999999998</v>
      </c>
      <c r="S17" s="39">
        <v>148277.6</v>
      </c>
      <c r="T17" s="39">
        <v>148277.6</v>
      </c>
      <c r="U17" s="39">
        <v>148277.6</v>
      </c>
      <c r="V17" s="39">
        <v>135500</v>
      </c>
      <c r="W17" s="39">
        <v>31000</v>
      </c>
      <c r="X17" s="39">
        <v>31000</v>
      </c>
      <c r="Y17" s="39">
        <v>31000</v>
      </c>
      <c r="Z17" s="39">
        <v>25000</v>
      </c>
      <c r="AA17" s="51">
        <v>1327443.2</v>
      </c>
    </row>
    <row r="18" spans="1:27" ht="12.75" customHeight="1" x14ac:dyDescent="0.25">
      <c r="A18" s="28" t="s">
        <v>66</v>
      </c>
      <c r="B18" s="12">
        <v>0</v>
      </c>
      <c r="C18" s="12">
        <v>0</v>
      </c>
      <c r="D18" s="12">
        <v>0</v>
      </c>
      <c r="E18" s="12">
        <v>25000</v>
      </c>
      <c r="F18" s="12">
        <v>0</v>
      </c>
      <c r="G18" s="12">
        <v>0</v>
      </c>
      <c r="H18" s="12">
        <v>69000</v>
      </c>
      <c r="I18" s="12">
        <v>42000</v>
      </c>
      <c r="J18" s="12">
        <v>22000</v>
      </c>
      <c r="K18" s="12">
        <v>22000</v>
      </c>
      <c r="L18" s="12">
        <v>24000</v>
      </c>
      <c r="M18" s="12">
        <v>40000</v>
      </c>
      <c r="N18" s="52">
        <v>244000</v>
      </c>
      <c r="O18" s="12">
        <v>18000</v>
      </c>
      <c r="P18" s="12">
        <v>18000</v>
      </c>
      <c r="Q18" s="12">
        <v>18000</v>
      </c>
      <c r="R18" s="12">
        <v>18000</v>
      </c>
      <c r="S18" s="12">
        <v>18000</v>
      </c>
      <c r="T18" s="12">
        <v>18000</v>
      </c>
      <c r="U18" s="12">
        <v>18000</v>
      </c>
      <c r="V18" s="12">
        <v>6000</v>
      </c>
      <c r="W18" s="12">
        <v>6000</v>
      </c>
      <c r="X18" s="12">
        <v>6000</v>
      </c>
      <c r="Y18" s="12">
        <v>6000</v>
      </c>
      <c r="Z18" s="12">
        <v>0</v>
      </c>
      <c r="AA18" s="52">
        <v>150000</v>
      </c>
    </row>
    <row r="19" spans="1:27" ht="12.75" customHeight="1" x14ac:dyDescent="0.25">
      <c r="A19" s="28" t="s">
        <v>68</v>
      </c>
      <c r="B19" s="12">
        <v>0</v>
      </c>
      <c r="C19" s="12">
        <v>50000</v>
      </c>
      <c r="D19" s="12">
        <v>126292.98</v>
      </c>
      <c r="E19" s="12">
        <v>11377.5</v>
      </c>
      <c r="F19" s="12">
        <v>0</v>
      </c>
      <c r="G19" s="12">
        <v>30327.5</v>
      </c>
      <c r="H19" s="12">
        <v>0</v>
      </c>
      <c r="I19" s="12">
        <v>0</v>
      </c>
      <c r="J19" s="12">
        <v>0</v>
      </c>
      <c r="K19" s="12">
        <v>0</v>
      </c>
      <c r="L19" s="12">
        <v>103250</v>
      </c>
      <c r="M19" s="12">
        <v>203000</v>
      </c>
      <c r="N19" s="52">
        <v>524247.98</v>
      </c>
      <c r="O19" s="12">
        <v>43250</v>
      </c>
      <c r="P19" s="12">
        <v>3250</v>
      </c>
      <c r="Q19" s="12">
        <v>144250</v>
      </c>
      <c r="R19" s="12">
        <v>154250</v>
      </c>
      <c r="S19" s="12">
        <v>91000</v>
      </c>
      <c r="T19" s="12">
        <v>91000</v>
      </c>
      <c r="U19" s="12">
        <v>91000</v>
      </c>
      <c r="V19" s="12">
        <v>115000</v>
      </c>
      <c r="W19" s="12">
        <v>25000</v>
      </c>
      <c r="X19" s="12">
        <v>25000</v>
      </c>
      <c r="Y19" s="12">
        <v>25000</v>
      </c>
      <c r="Z19" s="12">
        <v>25000</v>
      </c>
      <c r="AA19" s="52">
        <v>833000</v>
      </c>
    </row>
    <row r="20" spans="1:27" ht="12.75" customHeight="1" x14ac:dyDescent="0.25">
      <c r="A20" s="28" t="s">
        <v>62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9987</v>
      </c>
      <c r="H20" s="12">
        <v>0</v>
      </c>
      <c r="I20" s="12">
        <v>39277.599999999999</v>
      </c>
      <c r="J20" s="12">
        <v>0</v>
      </c>
      <c r="K20" s="12">
        <v>64055.199999999997</v>
      </c>
      <c r="L20" s="12">
        <v>53777.599999999999</v>
      </c>
      <c r="M20" s="12">
        <v>169777.6</v>
      </c>
      <c r="N20" s="52">
        <v>336875</v>
      </c>
      <c r="O20" s="12">
        <v>39277.599999999999</v>
      </c>
      <c r="P20" s="12">
        <v>39277.599999999999</v>
      </c>
      <c r="Q20" s="12">
        <v>39277.599999999999</v>
      </c>
      <c r="R20" s="12">
        <v>94277.6</v>
      </c>
      <c r="S20" s="12">
        <v>39277.599999999999</v>
      </c>
      <c r="T20" s="12">
        <v>39277.599999999999</v>
      </c>
      <c r="U20" s="12">
        <v>39277.599999999999</v>
      </c>
      <c r="V20" s="12">
        <v>14500</v>
      </c>
      <c r="W20" s="12">
        <v>0</v>
      </c>
      <c r="X20" s="12">
        <v>0</v>
      </c>
      <c r="Y20" s="12">
        <v>0</v>
      </c>
      <c r="Z20" s="12">
        <v>0</v>
      </c>
      <c r="AA20" s="52">
        <v>344443.19999999995</v>
      </c>
    </row>
    <row r="21" spans="1:27" ht="12.75" customHeight="1" x14ac:dyDescent="0.25">
      <c r="A21" s="38" t="s">
        <v>61</v>
      </c>
      <c r="B21" s="39">
        <v>276138.86</v>
      </c>
      <c r="C21" s="39">
        <v>303659.09999999998</v>
      </c>
      <c r="D21" s="39">
        <v>148959.5</v>
      </c>
      <c r="E21" s="39">
        <v>175655.2</v>
      </c>
      <c r="F21" s="39">
        <v>192782.4</v>
      </c>
      <c r="G21" s="39">
        <v>75752.899999999994</v>
      </c>
      <c r="H21" s="39">
        <v>256181</v>
      </c>
      <c r="I21" s="39">
        <v>104161</v>
      </c>
      <c r="J21" s="39">
        <v>86977.5</v>
      </c>
      <c r="K21" s="39">
        <v>188278</v>
      </c>
      <c r="L21" s="39">
        <v>243482.5</v>
      </c>
      <c r="M21" s="39">
        <v>335155</v>
      </c>
      <c r="N21" s="51">
        <v>2387182.96</v>
      </c>
      <c r="O21" s="39">
        <v>126737</v>
      </c>
      <c r="P21" s="39">
        <v>270160</v>
      </c>
      <c r="Q21" s="39">
        <v>178350</v>
      </c>
      <c r="R21" s="39">
        <v>157930</v>
      </c>
      <c r="S21" s="39">
        <v>11930</v>
      </c>
      <c r="T21" s="39">
        <v>11930</v>
      </c>
      <c r="U21" s="39">
        <v>11930</v>
      </c>
      <c r="V21" s="39">
        <v>10000</v>
      </c>
      <c r="W21" s="39">
        <v>10000</v>
      </c>
      <c r="X21" s="39">
        <v>10000</v>
      </c>
      <c r="Y21" s="39">
        <v>10000</v>
      </c>
      <c r="Z21" s="39">
        <v>10000</v>
      </c>
      <c r="AA21" s="51">
        <v>818967</v>
      </c>
    </row>
    <row r="22" spans="1:27" ht="12.75" customHeight="1" x14ac:dyDescent="0.25">
      <c r="A22" s="28" t="s">
        <v>66</v>
      </c>
      <c r="B22" s="12">
        <v>33027.360000000001</v>
      </c>
      <c r="C22" s="12">
        <v>175934</v>
      </c>
      <c r="D22" s="12">
        <v>0</v>
      </c>
      <c r="E22" s="12">
        <v>495</v>
      </c>
      <c r="F22" s="12">
        <v>2628.8</v>
      </c>
      <c r="G22" s="12">
        <v>22769.05</v>
      </c>
      <c r="H22" s="12">
        <v>73633.399999999994</v>
      </c>
      <c r="I22" s="12">
        <v>41456.5</v>
      </c>
      <c r="J22" s="12">
        <v>22110</v>
      </c>
      <c r="K22" s="12">
        <v>22408.5</v>
      </c>
      <c r="L22" s="12">
        <v>8211</v>
      </c>
      <c r="M22" s="12">
        <v>195011</v>
      </c>
      <c r="N22" s="52">
        <v>597684.61</v>
      </c>
      <c r="O22" s="12">
        <v>2200</v>
      </c>
      <c r="P22" s="12">
        <v>52230</v>
      </c>
      <c r="Q22" s="12">
        <v>20420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52">
        <v>74850</v>
      </c>
    </row>
    <row r="23" spans="1:27" ht="12.75" customHeight="1" x14ac:dyDescent="0.25">
      <c r="A23" s="28" t="s">
        <v>68</v>
      </c>
      <c r="B23" s="12">
        <v>80791.899999999994</v>
      </c>
      <c r="C23" s="12">
        <v>26087.5</v>
      </c>
      <c r="D23" s="12">
        <v>37975</v>
      </c>
      <c r="E23" s="12">
        <v>30025</v>
      </c>
      <c r="F23" s="12">
        <v>24950</v>
      </c>
      <c r="G23" s="12">
        <v>13706.25</v>
      </c>
      <c r="H23" s="12">
        <v>15950</v>
      </c>
      <c r="I23" s="12">
        <v>5192.5</v>
      </c>
      <c r="J23" s="12">
        <v>7367.5</v>
      </c>
      <c r="K23" s="12">
        <v>2680</v>
      </c>
      <c r="L23" s="12">
        <v>1930</v>
      </c>
      <c r="M23" s="12">
        <v>1930</v>
      </c>
      <c r="N23" s="52">
        <v>248585.65</v>
      </c>
      <c r="O23" s="12">
        <v>1930</v>
      </c>
      <c r="P23" s="12">
        <v>1930</v>
      </c>
      <c r="Q23" s="12">
        <v>1930</v>
      </c>
      <c r="R23" s="12">
        <v>1930</v>
      </c>
      <c r="S23" s="12">
        <v>1930</v>
      </c>
      <c r="T23" s="12">
        <v>1930</v>
      </c>
      <c r="U23" s="12">
        <v>1930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52">
        <v>13510</v>
      </c>
    </row>
    <row r="24" spans="1:27" ht="12.75" customHeight="1" x14ac:dyDescent="0.25">
      <c r="A24" s="28" t="s">
        <v>62</v>
      </c>
      <c r="B24" s="12">
        <v>162319.6</v>
      </c>
      <c r="C24" s="12">
        <v>101637.6</v>
      </c>
      <c r="D24" s="12">
        <v>110984.5</v>
      </c>
      <c r="E24" s="12">
        <v>145135.20000000001</v>
      </c>
      <c r="F24" s="12">
        <v>165203.6</v>
      </c>
      <c r="G24" s="12">
        <v>39277.599999999999</v>
      </c>
      <c r="H24" s="12">
        <v>166597.6</v>
      </c>
      <c r="I24" s="12">
        <v>57512</v>
      </c>
      <c r="J24" s="12">
        <v>57500</v>
      </c>
      <c r="K24" s="12">
        <v>163189.5</v>
      </c>
      <c r="L24" s="12">
        <v>233341.5</v>
      </c>
      <c r="M24" s="12">
        <v>138214</v>
      </c>
      <c r="N24" s="52">
        <v>1540912.7</v>
      </c>
      <c r="O24" s="12">
        <v>122607</v>
      </c>
      <c r="P24" s="12">
        <v>216000</v>
      </c>
      <c r="Q24" s="12">
        <v>156000</v>
      </c>
      <c r="R24" s="12">
        <v>156000</v>
      </c>
      <c r="S24" s="12">
        <v>10000</v>
      </c>
      <c r="T24" s="12">
        <v>10000</v>
      </c>
      <c r="U24" s="12">
        <v>10000</v>
      </c>
      <c r="V24" s="12">
        <v>10000</v>
      </c>
      <c r="W24" s="12">
        <v>10000</v>
      </c>
      <c r="X24" s="12">
        <v>10000</v>
      </c>
      <c r="Y24" s="12">
        <v>10000</v>
      </c>
      <c r="Z24" s="12">
        <v>10000</v>
      </c>
      <c r="AA24" s="52">
        <v>730607</v>
      </c>
    </row>
    <row r="25" spans="1:27" ht="12.75" customHeight="1" x14ac:dyDescent="0.25">
      <c r="A25" s="40" t="s">
        <v>29</v>
      </c>
      <c r="B25" s="41">
        <v>276138.86</v>
      </c>
      <c r="C25" s="41">
        <v>353659.1</v>
      </c>
      <c r="D25" s="41">
        <v>275252.47999999998</v>
      </c>
      <c r="E25" s="41">
        <v>212032.7</v>
      </c>
      <c r="F25" s="41">
        <v>192782.4</v>
      </c>
      <c r="G25" s="41">
        <v>116067.4</v>
      </c>
      <c r="H25" s="41">
        <v>325181</v>
      </c>
      <c r="I25" s="41">
        <v>185438.6</v>
      </c>
      <c r="J25" s="41">
        <v>108977.5</v>
      </c>
      <c r="K25" s="41">
        <v>274333.2</v>
      </c>
      <c r="L25" s="41">
        <v>424510.1</v>
      </c>
      <c r="M25" s="41">
        <v>747932.6</v>
      </c>
      <c r="N25" s="41">
        <v>3492305.9399999995</v>
      </c>
      <c r="O25" s="60">
        <v>227264.6</v>
      </c>
      <c r="P25" s="60">
        <v>330687.59999999998</v>
      </c>
      <c r="Q25" s="60">
        <v>379877.6</v>
      </c>
      <c r="R25" s="41">
        <v>424457.6</v>
      </c>
      <c r="S25" s="41">
        <v>160207.6</v>
      </c>
      <c r="T25" s="41">
        <v>160207.6</v>
      </c>
      <c r="U25" s="41">
        <v>160207.6</v>
      </c>
      <c r="V25" s="41">
        <v>145500</v>
      </c>
      <c r="W25" s="41">
        <v>41000</v>
      </c>
      <c r="X25" s="41">
        <v>41000</v>
      </c>
      <c r="Y25" s="41">
        <v>41000</v>
      </c>
      <c r="Z25" s="41">
        <v>35000</v>
      </c>
      <c r="AA25" s="41">
        <v>2146410.2000000002</v>
      </c>
    </row>
    <row r="27" spans="1:27" ht="12.75" customHeight="1" x14ac:dyDescent="0.25">
      <c r="A27" s="36" t="s">
        <v>43</v>
      </c>
      <c r="B27" s="37">
        <v>1</v>
      </c>
      <c r="C27" s="37">
        <v>2</v>
      </c>
      <c r="D27" s="37">
        <v>3</v>
      </c>
      <c r="E27" s="37">
        <v>4</v>
      </c>
      <c r="F27" s="37">
        <v>5</v>
      </c>
      <c r="G27" s="37">
        <v>6</v>
      </c>
      <c r="H27" s="37">
        <v>7</v>
      </c>
      <c r="I27" s="37">
        <v>8</v>
      </c>
      <c r="J27" s="37">
        <v>9</v>
      </c>
      <c r="K27" s="37">
        <v>10</v>
      </c>
      <c r="L27" s="37">
        <v>11</v>
      </c>
      <c r="M27" s="37">
        <v>12</v>
      </c>
      <c r="N27" s="37" t="s">
        <v>29</v>
      </c>
      <c r="O27" s="37">
        <v>1</v>
      </c>
      <c r="P27" s="37">
        <v>2</v>
      </c>
      <c r="Q27" s="37">
        <v>3</v>
      </c>
      <c r="R27" s="37">
        <v>4</v>
      </c>
      <c r="S27" s="37">
        <v>5</v>
      </c>
      <c r="T27" s="37">
        <v>6</v>
      </c>
      <c r="U27" s="37">
        <v>7</v>
      </c>
      <c r="V27" s="37">
        <v>8</v>
      </c>
      <c r="W27" s="37">
        <v>9</v>
      </c>
      <c r="X27" s="37">
        <v>10</v>
      </c>
      <c r="Y27" s="37">
        <v>11</v>
      </c>
      <c r="Z27" s="37">
        <v>12</v>
      </c>
      <c r="AA27" s="37" t="s">
        <v>29</v>
      </c>
    </row>
    <row r="28" spans="1:27" ht="12.75" customHeight="1" x14ac:dyDescent="0.25">
      <c r="A28" s="28" t="s">
        <v>68</v>
      </c>
      <c r="B28" s="12">
        <f>+B23</f>
        <v>80791.899999999994</v>
      </c>
      <c r="C28" s="12">
        <f t="shared" ref="C28:M28" si="0">+C23</f>
        <v>26087.5</v>
      </c>
      <c r="D28" s="12">
        <f t="shared" si="0"/>
        <v>37975</v>
      </c>
      <c r="E28" s="12">
        <f t="shared" si="0"/>
        <v>30025</v>
      </c>
      <c r="F28" s="12">
        <f t="shared" si="0"/>
        <v>24950</v>
      </c>
      <c r="G28" s="12">
        <f t="shared" si="0"/>
        <v>13706.25</v>
      </c>
      <c r="H28" s="12">
        <f t="shared" si="0"/>
        <v>15950</v>
      </c>
      <c r="I28" s="12">
        <f t="shared" si="0"/>
        <v>5192.5</v>
      </c>
      <c r="J28" s="12">
        <f t="shared" si="0"/>
        <v>7367.5</v>
      </c>
      <c r="K28" s="12">
        <f t="shared" si="0"/>
        <v>2680</v>
      </c>
      <c r="L28" s="12">
        <f t="shared" si="0"/>
        <v>1930</v>
      </c>
      <c r="M28" s="12">
        <f t="shared" si="0"/>
        <v>1930</v>
      </c>
      <c r="N28" s="12">
        <f>SUM(B28:M28)</f>
        <v>248585.65</v>
      </c>
      <c r="O28" s="12">
        <f>+O23</f>
        <v>1930</v>
      </c>
      <c r="P28" s="12">
        <f t="shared" ref="P28:Z28" si="1">+P23</f>
        <v>1930</v>
      </c>
      <c r="Q28" s="12">
        <f t="shared" si="1"/>
        <v>1930</v>
      </c>
      <c r="R28" s="12">
        <f t="shared" si="1"/>
        <v>1930</v>
      </c>
      <c r="S28" s="12">
        <f t="shared" si="1"/>
        <v>1930</v>
      </c>
      <c r="T28" s="12">
        <f t="shared" si="1"/>
        <v>1930</v>
      </c>
      <c r="U28" s="12">
        <f t="shared" si="1"/>
        <v>1930</v>
      </c>
      <c r="V28" s="12">
        <f t="shared" si="1"/>
        <v>0</v>
      </c>
      <c r="W28" s="12">
        <f t="shared" si="1"/>
        <v>0</v>
      </c>
      <c r="X28" s="12">
        <f t="shared" si="1"/>
        <v>0</v>
      </c>
      <c r="Y28" s="12">
        <f t="shared" si="1"/>
        <v>0</v>
      </c>
      <c r="Z28" s="12">
        <f t="shared" si="1"/>
        <v>0</v>
      </c>
      <c r="AA28" s="12">
        <f>SUM(O28:Z28)</f>
        <v>13510</v>
      </c>
    </row>
    <row r="29" spans="1:27" ht="12.75" customHeight="1" x14ac:dyDescent="0.25">
      <c r="A29" s="28" t="s">
        <v>62</v>
      </c>
      <c r="B29" s="12">
        <f>+B24</f>
        <v>162319.6</v>
      </c>
      <c r="C29" s="12">
        <f t="shared" ref="C29:M29" si="2">+C24</f>
        <v>101637.6</v>
      </c>
      <c r="D29" s="12">
        <f t="shared" si="2"/>
        <v>110984.5</v>
      </c>
      <c r="E29" s="12">
        <f t="shared" si="2"/>
        <v>145135.20000000001</v>
      </c>
      <c r="F29" s="12">
        <f t="shared" si="2"/>
        <v>165203.6</v>
      </c>
      <c r="G29" s="12">
        <f t="shared" si="2"/>
        <v>39277.599999999999</v>
      </c>
      <c r="H29" s="12">
        <f t="shared" si="2"/>
        <v>166597.6</v>
      </c>
      <c r="I29" s="12">
        <f t="shared" si="2"/>
        <v>57512</v>
      </c>
      <c r="J29" s="12">
        <f t="shared" si="2"/>
        <v>57500</v>
      </c>
      <c r="K29" s="12">
        <f t="shared" si="2"/>
        <v>163189.5</v>
      </c>
      <c r="L29" s="12">
        <f t="shared" si="2"/>
        <v>233341.5</v>
      </c>
      <c r="M29" s="12">
        <f t="shared" si="2"/>
        <v>138214</v>
      </c>
      <c r="N29" s="12">
        <f>SUM(B29:M29)</f>
        <v>1540912.7</v>
      </c>
      <c r="O29" s="12">
        <f>+O24</f>
        <v>122607</v>
      </c>
      <c r="P29" s="12">
        <f t="shared" ref="P29:Z29" si="3">+P24</f>
        <v>216000</v>
      </c>
      <c r="Q29" s="12">
        <f t="shared" si="3"/>
        <v>156000</v>
      </c>
      <c r="R29" s="12">
        <f t="shared" si="3"/>
        <v>156000</v>
      </c>
      <c r="S29" s="12">
        <f t="shared" si="3"/>
        <v>10000</v>
      </c>
      <c r="T29" s="12">
        <f t="shared" si="3"/>
        <v>10000</v>
      </c>
      <c r="U29" s="12">
        <f t="shared" si="3"/>
        <v>10000</v>
      </c>
      <c r="V29" s="12">
        <f t="shared" si="3"/>
        <v>10000</v>
      </c>
      <c r="W29" s="12">
        <f t="shared" si="3"/>
        <v>10000</v>
      </c>
      <c r="X29" s="12">
        <f t="shared" si="3"/>
        <v>10000</v>
      </c>
      <c r="Y29" s="12">
        <f t="shared" si="3"/>
        <v>10000</v>
      </c>
      <c r="Z29" s="12">
        <f t="shared" si="3"/>
        <v>10000</v>
      </c>
      <c r="AA29" s="12">
        <f>SUM(O29:Z29)</f>
        <v>730607</v>
      </c>
    </row>
    <row r="30" spans="1:27" ht="12.75" customHeight="1" x14ac:dyDescent="0.25">
      <c r="A30" s="28" t="s">
        <v>66</v>
      </c>
      <c r="B30" s="12">
        <f>+B22</f>
        <v>33027.360000000001</v>
      </c>
      <c r="C30" s="12">
        <f t="shared" ref="C30:M30" si="4">+C22</f>
        <v>175934</v>
      </c>
      <c r="D30" s="12">
        <f t="shared" si="4"/>
        <v>0</v>
      </c>
      <c r="E30" s="12">
        <f t="shared" si="4"/>
        <v>495</v>
      </c>
      <c r="F30" s="12">
        <f t="shared" si="4"/>
        <v>2628.8</v>
      </c>
      <c r="G30" s="12">
        <f t="shared" si="4"/>
        <v>22769.05</v>
      </c>
      <c r="H30" s="12">
        <f t="shared" si="4"/>
        <v>73633.399999999994</v>
      </c>
      <c r="I30" s="12">
        <f t="shared" si="4"/>
        <v>41456.5</v>
      </c>
      <c r="J30" s="12">
        <f t="shared" si="4"/>
        <v>22110</v>
      </c>
      <c r="K30" s="12">
        <f t="shared" si="4"/>
        <v>22408.5</v>
      </c>
      <c r="L30" s="12">
        <f t="shared" si="4"/>
        <v>8211</v>
      </c>
      <c r="M30" s="12">
        <f t="shared" si="4"/>
        <v>195011</v>
      </c>
      <c r="N30" s="12">
        <f>SUM(B30:M30)</f>
        <v>597684.61</v>
      </c>
      <c r="O30" s="12">
        <f>+O22</f>
        <v>2200</v>
      </c>
      <c r="P30" s="12">
        <f t="shared" ref="P30:Z30" si="5">+P22</f>
        <v>52230</v>
      </c>
      <c r="Q30" s="12">
        <f t="shared" si="5"/>
        <v>20420</v>
      </c>
      <c r="R30" s="12">
        <f t="shared" si="5"/>
        <v>0</v>
      </c>
      <c r="S30" s="12">
        <f t="shared" si="5"/>
        <v>0</v>
      </c>
      <c r="T30" s="12">
        <f t="shared" si="5"/>
        <v>0</v>
      </c>
      <c r="U30" s="12">
        <f t="shared" si="5"/>
        <v>0</v>
      </c>
      <c r="V30" s="12">
        <f t="shared" si="5"/>
        <v>0</v>
      </c>
      <c r="W30" s="12">
        <f t="shared" si="5"/>
        <v>0</v>
      </c>
      <c r="X30" s="12">
        <f t="shared" si="5"/>
        <v>0</v>
      </c>
      <c r="Y30" s="12">
        <f t="shared" si="5"/>
        <v>0</v>
      </c>
      <c r="Z30" s="12">
        <f t="shared" si="5"/>
        <v>0</v>
      </c>
      <c r="AA30" s="12">
        <f>SUM(O30:Z30)</f>
        <v>74850</v>
      </c>
    </row>
    <row r="31" spans="1:27" ht="12.75" customHeight="1" x14ac:dyDescent="0.25">
      <c r="A31" s="38" t="s">
        <v>61</v>
      </c>
      <c r="B31" s="39">
        <f>SUM(B28:B30)</f>
        <v>276138.86</v>
      </c>
      <c r="C31" s="39">
        <f t="shared" ref="C31:N31" si="6">SUM(C28:C30)</f>
        <v>303659.09999999998</v>
      </c>
      <c r="D31" s="39">
        <f t="shared" si="6"/>
        <v>148959.5</v>
      </c>
      <c r="E31" s="39">
        <f t="shared" si="6"/>
        <v>175655.2</v>
      </c>
      <c r="F31" s="39">
        <f t="shared" si="6"/>
        <v>192782.4</v>
      </c>
      <c r="G31" s="39">
        <f t="shared" si="6"/>
        <v>75752.899999999994</v>
      </c>
      <c r="H31" s="39">
        <f t="shared" si="6"/>
        <v>256181</v>
      </c>
      <c r="I31" s="39">
        <f t="shared" si="6"/>
        <v>104161</v>
      </c>
      <c r="J31" s="39">
        <f t="shared" si="6"/>
        <v>86977.5</v>
      </c>
      <c r="K31" s="39">
        <f t="shared" si="6"/>
        <v>188278</v>
      </c>
      <c r="L31" s="39">
        <f t="shared" si="6"/>
        <v>243482.5</v>
      </c>
      <c r="M31" s="39">
        <f t="shared" si="6"/>
        <v>335155</v>
      </c>
      <c r="N31" s="39">
        <f t="shared" si="6"/>
        <v>2387182.96</v>
      </c>
      <c r="O31" s="39">
        <f>SUM(O28:O30)</f>
        <v>126737</v>
      </c>
      <c r="P31" s="39">
        <f t="shared" ref="P31:AA31" si="7">SUM(P28:P30)</f>
        <v>270160</v>
      </c>
      <c r="Q31" s="39">
        <f t="shared" si="7"/>
        <v>178350</v>
      </c>
      <c r="R31" s="39">
        <f t="shared" si="7"/>
        <v>157930</v>
      </c>
      <c r="S31" s="39">
        <f t="shared" si="7"/>
        <v>11930</v>
      </c>
      <c r="T31" s="39">
        <f t="shared" si="7"/>
        <v>11930</v>
      </c>
      <c r="U31" s="39">
        <f t="shared" si="7"/>
        <v>11930</v>
      </c>
      <c r="V31" s="39">
        <f t="shared" si="7"/>
        <v>10000</v>
      </c>
      <c r="W31" s="39">
        <f t="shared" si="7"/>
        <v>10000</v>
      </c>
      <c r="X31" s="39">
        <f t="shared" si="7"/>
        <v>10000</v>
      </c>
      <c r="Y31" s="39">
        <f t="shared" si="7"/>
        <v>10000</v>
      </c>
      <c r="Z31" s="39">
        <f t="shared" si="7"/>
        <v>10000</v>
      </c>
      <c r="AA31" s="39">
        <f t="shared" si="7"/>
        <v>818967</v>
      </c>
    </row>
    <row r="33" spans="1:27" ht="12.75" customHeight="1" x14ac:dyDescent="0.25">
      <c r="A33" s="28" t="s">
        <v>68</v>
      </c>
      <c r="B33" s="12">
        <f>+B19</f>
        <v>0</v>
      </c>
      <c r="C33" s="12">
        <f t="shared" ref="C33:M33" si="8">+C19</f>
        <v>50000</v>
      </c>
      <c r="D33" s="12">
        <f t="shared" si="8"/>
        <v>126292.98</v>
      </c>
      <c r="E33" s="12">
        <f t="shared" si="8"/>
        <v>11377.5</v>
      </c>
      <c r="F33" s="12">
        <f t="shared" si="8"/>
        <v>0</v>
      </c>
      <c r="G33" s="12">
        <f t="shared" si="8"/>
        <v>30327.5</v>
      </c>
      <c r="H33" s="12">
        <f t="shared" si="8"/>
        <v>0</v>
      </c>
      <c r="I33" s="12">
        <f t="shared" si="8"/>
        <v>0</v>
      </c>
      <c r="J33" s="12">
        <f t="shared" si="8"/>
        <v>0</v>
      </c>
      <c r="K33" s="12">
        <f t="shared" si="8"/>
        <v>0</v>
      </c>
      <c r="L33" s="12">
        <f t="shared" si="8"/>
        <v>103250</v>
      </c>
      <c r="M33" s="12">
        <f t="shared" si="8"/>
        <v>203000</v>
      </c>
      <c r="N33" s="12">
        <f>SUM(B33:M33)</f>
        <v>524247.98</v>
      </c>
      <c r="O33" s="12">
        <f>+O19</f>
        <v>43250</v>
      </c>
      <c r="P33" s="12">
        <f t="shared" ref="P33:Z33" si="9">+P19</f>
        <v>3250</v>
      </c>
      <c r="Q33" s="12">
        <f t="shared" si="9"/>
        <v>144250</v>
      </c>
      <c r="R33" s="12">
        <f t="shared" si="9"/>
        <v>154250</v>
      </c>
      <c r="S33" s="12">
        <f t="shared" si="9"/>
        <v>91000</v>
      </c>
      <c r="T33" s="12">
        <f t="shared" si="9"/>
        <v>91000</v>
      </c>
      <c r="U33" s="12">
        <f t="shared" si="9"/>
        <v>91000</v>
      </c>
      <c r="V33" s="12">
        <f t="shared" si="9"/>
        <v>115000</v>
      </c>
      <c r="W33" s="12">
        <f t="shared" si="9"/>
        <v>25000</v>
      </c>
      <c r="X33" s="12">
        <f t="shared" si="9"/>
        <v>25000</v>
      </c>
      <c r="Y33" s="12">
        <f t="shared" si="9"/>
        <v>25000</v>
      </c>
      <c r="Z33" s="12">
        <f t="shared" si="9"/>
        <v>25000</v>
      </c>
      <c r="AA33" s="12">
        <f>SUM(O33:Z33)</f>
        <v>833000</v>
      </c>
    </row>
    <row r="34" spans="1:27" ht="12.75" customHeight="1" x14ac:dyDescent="0.25">
      <c r="A34" s="28" t="s">
        <v>62</v>
      </c>
      <c r="B34" s="12">
        <f>+B20</f>
        <v>0</v>
      </c>
      <c r="C34" s="12">
        <f t="shared" ref="C34:M34" si="10">+C20</f>
        <v>0</v>
      </c>
      <c r="D34" s="12">
        <f t="shared" si="10"/>
        <v>0</v>
      </c>
      <c r="E34" s="12">
        <f t="shared" si="10"/>
        <v>0</v>
      </c>
      <c r="F34" s="12">
        <f t="shared" si="10"/>
        <v>0</v>
      </c>
      <c r="G34" s="12">
        <f t="shared" si="10"/>
        <v>9987</v>
      </c>
      <c r="H34" s="12">
        <f t="shared" si="10"/>
        <v>0</v>
      </c>
      <c r="I34" s="12">
        <f t="shared" si="10"/>
        <v>39277.599999999999</v>
      </c>
      <c r="J34" s="12">
        <f t="shared" si="10"/>
        <v>0</v>
      </c>
      <c r="K34" s="12">
        <f t="shared" si="10"/>
        <v>64055.199999999997</v>
      </c>
      <c r="L34" s="12">
        <f t="shared" si="10"/>
        <v>53777.599999999999</v>
      </c>
      <c r="M34" s="12">
        <f t="shared" si="10"/>
        <v>169777.6</v>
      </c>
      <c r="N34" s="12">
        <f>SUM(B34:M34)</f>
        <v>336875</v>
      </c>
      <c r="O34" s="12">
        <f>+O20</f>
        <v>39277.599999999999</v>
      </c>
      <c r="P34" s="12">
        <f t="shared" ref="P34:Z34" si="11">+P20</f>
        <v>39277.599999999999</v>
      </c>
      <c r="Q34" s="12">
        <f t="shared" si="11"/>
        <v>39277.599999999999</v>
      </c>
      <c r="R34" s="12">
        <f t="shared" si="11"/>
        <v>94277.6</v>
      </c>
      <c r="S34" s="12">
        <f t="shared" si="11"/>
        <v>39277.599999999999</v>
      </c>
      <c r="T34" s="12">
        <f t="shared" si="11"/>
        <v>39277.599999999999</v>
      </c>
      <c r="U34" s="12">
        <f t="shared" si="11"/>
        <v>39277.599999999999</v>
      </c>
      <c r="V34" s="12">
        <f t="shared" si="11"/>
        <v>14500</v>
      </c>
      <c r="W34" s="12">
        <f t="shared" si="11"/>
        <v>0</v>
      </c>
      <c r="X34" s="12">
        <f t="shared" si="11"/>
        <v>0</v>
      </c>
      <c r="Y34" s="12">
        <f t="shared" si="11"/>
        <v>0</v>
      </c>
      <c r="Z34" s="12">
        <f t="shared" si="11"/>
        <v>0</v>
      </c>
      <c r="AA34" s="12">
        <f>SUM(O34:Z34)</f>
        <v>344443.19999999995</v>
      </c>
    </row>
    <row r="35" spans="1:27" ht="12.75" customHeight="1" x14ac:dyDescent="0.25">
      <c r="A35" s="28" t="s">
        <v>66</v>
      </c>
      <c r="B35" s="12">
        <f>+B18</f>
        <v>0</v>
      </c>
      <c r="C35" s="12">
        <f t="shared" ref="C35:M35" si="12">+C18</f>
        <v>0</v>
      </c>
      <c r="D35" s="12">
        <f t="shared" si="12"/>
        <v>0</v>
      </c>
      <c r="E35" s="12">
        <f t="shared" si="12"/>
        <v>25000</v>
      </c>
      <c r="F35" s="12">
        <f t="shared" si="12"/>
        <v>0</v>
      </c>
      <c r="G35" s="12">
        <f t="shared" si="12"/>
        <v>0</v>
      </c>
      <c r="H35" s="12">
        <f t="shared" si="12"/>
        <v>69000</v>
      </c>
      <c r="I35" s="12">
        <f t="shared" si="12"/>
        <v>42000</v>
      </c>
      <c r="J35" s="12">
        <f t="shared" si="12"/>
        <v>22000</v>
      </c>
      <c r="K35" s="12">
        <f t="shared" si="12"/>
        <v>22000</v>
      </c>
      <c r="L35" s="12">
        <f t="shared" si="12"/>
        <v>24000</v>
      </c>
      <c r="M35" s="12">
        <f t="shared" si="12"/>
        <v>40000</v>
      </c>
      <c r="N35" s="12">
        <f>SUM(B35:M35)</f>
        <v>244000</v>
      </c>
      <c r="O35" s="12">
        <f>+O18</f>
        <v>18000</v>
      </c>
      <c r="P35" s="12">
        <f t="shared" ref="P35:Z35" si="13">+P18</f>
        <v>18000</v>
      </c>
      <c r="Q35" s="12">
        <f t="shared" si="13"/>
        <v>18000</v>
      </c>
      <c r="R35" s="12">
        <f t="shared" si="13"/>
        <v>18000</v>
      </c>
      <c r="S35" s="12">
        <f t="shared" si="13"/>
        <v>18000</v>
      </c>
      <c r="T35" s="12">
        <f t="shared" si="13"/>
        <v>18000</v>
      </c>
      <c r="U35" s="12">
        <f t="shared" si="13"/>
        <v>18000</v>
      </c>
      <c r="V35" s="12">
        <f t="shared" si="13"/>
        <v>6000</v>
      </c>
      <c r="W35" s="12">
        <f t="shared" si="13"/>
        <v>6000</v>
      </c>
      <c r="X35" s="12">
        <f t="shared" si="13"/>
        <v>6000</v>
      </c>
      <c r="Y35" s="12">
        <f t="shared" si="13"/>
        <v>6000</v>
      </c>
      <c r="Z35" s="12">
        <f t="shared" si="13"/>
        <v>0</v>
      </c>
      <c r="AA35" s="12">
        <f>SUM(O35:Z35)</f>
        <v>150000</v>
      </c>
    </row>
    <row r="36" spans="1:27" ht="12.75" customHeight="1" x14ac:dyDescent="0.25">
      <c r="A36" s="38" t="s">
        <v>64</v>
      </c>
      <c r="B36" s="39">
        <f>SUM(B33:B35)</f>
        <v>0</v>
      </c>
      <c r="C36" s="39">
        <f t="shared" ref="C36" si="14">SUM(C33:C35)</f>
        <v>50000</v>
      </c>
      <c r="D36" s="39">
        <f t="shared" ref="D36" si="15">SUM(D33:D35)</f>
        <v>126292.98</v>
      </c>
      <c r="E36" s="39">
        <f t="shared" ref="E36" si="16">SUM(E33:E35)</f>
        <v>36377.5</v>
      </c>
      <c r="F36" s="39">
        <f t="shared" ref="F36" si="17">SUM(F33:F35)</f>
        <v>0</v>
      </c>
      <c r="G36" s="39">
        <f t="shared" ref="G36" si="18">SUM(G33:G35)</f>
        <v>40314.5</v>
      </c>
      <c r="H36" s="39">
        <f t="shared" ref="H36" si="19">SUM(H33:H35)</f>
        <v>69000</v>
      </c>
      <c r="I36" s="39">
        <f t="shared" ref="I36" si="20">SUM(I33:I35)</f>
        <v>81277.600000000006</v>
      </c>
      <c r="J36" s="39">
        <f t="shared" ref="J36" si="21">SUM(J33:J35)</f>
        <v>22000</v>
      </c>
      <c r="K36" s="39">
        <f t="shared" ref="K36" si="22">SUM(K33:K35)</f>
        <v>86055.2</v>
      </c>
      <c r="L36" s="39">
        <f t="shared" ref="L36" si="23">SUM(L33:L35)</f>
        <v>181027.6</v>
      </c>
      <c r="M36" s="39">
        <f t="shared" ref="M36:N36" si="24">SUM(M33:M35)</f>
        <v>412777.6</v>
      </c>
      <c r="N36" s="39">
        <f t="shared" si="24"/>
        <v>1105122.98</v>
      </c>
      <c r="O36" s="39">
        <f>SUM(O33:O35)</f>
        <v>100527.6</v>
      </c>
      <c r="P36" s="39">
        <f t="shared" ref="P36:AA36" si="25">SUM(P33:P35)</f>
        <v>60527.6</v>
      </c>
      <c r="Q36" s="39">
        <f t="shared" si="25"/>
        <v>201527.6</v>
      </c>
      <c r="R36" s="39">
        <f t="shared" si="25"/>
        <v>266527.59999999998</v>
      </c>
      <c r="S36" s="39">
        <f t="shared" si="25"/>
        <v>148277.6</v>
      </c>
      <c r="T36" s="39">
        <f t="shared" si="25"/>
        <v>148277.6</v>
      </c>
      <c r="U36" s="39">
        <f t="shared" si="25"/>
        <v>148277.6</v>
      </c>
      <c r="V36" s="39">
        <f t="shared" si="25"/>
        <v>135500</v>
      </c>
      <c r="W36" s="39">
        <f t="shared" si="25"/>
        <v>31000</v>
      </c>
      <c r="X36" s="39">
        <f t="shared" si="25"/>
        <v>31000</v>
      </c>
      <c r="Y36" s="39">
        <f t="shared" si="25"/>
        <v>31000</v>
      </c>
      <c r="Z36" s="39">
        <f t="shared" si="25"/>
        <v>25000</v>
      </c>
      <c r="AA36" s="39">
        <f t="shared" si="25"/>
        <v>1327443.2</v>
      </c>
    </row>
    <row r="38" spans="1:27" ht="12.75" customHeight="1" x14ac:dyDescent="0.25">
      <c r="A38" s="40" t="s">
        <v>29</v>
      </c>
      <c r="B38" s="41">
        <f>+B31+B36</f>
        <v>276138.86</v>
      </c>
      <c r="C38" s="41">
        <f t="shared" ref="C38:N38" si="26">+C31+C36</f>
        <v>353659.1</v>
      </c>
      <c r="D38" s="41">
        <f t="shared" si="26"/>
        <v>275252.47999999998</v>
      </c>
      <c r="E38" s="41">
        <f t="shared" si="26"/>
        <v>212032.7</v>
      </c>
      <c r="F38" s="41">
        <f t="shared" si="26"/>
        <v>192782.4</v>
      </c>
      <c r="G38" s="41">
        <f t="shared" si="26"/>
        <v>116067.4</v>
      </c>
      <c r="H38" s="41">
        <f t="shared" si="26"/>
        <v>325181</v>
      </c>
      <c r="I38" s="41">
        <f t="shared" si="26"/>
        <v>185438.6</v>
      </c>
      <c r="J38" s="41">
        <f t="shared" si="26"/>
        <v>108977.5</v>
      </c>
      <c r="K38" s="41">
        <f t="shared" si="26"/>
        <v>274333.2</v>
      </c>
      <c r="L38" s="41">
        <f t="shared" si="26"/>
        <v>424510.1</v>
      </c>
      <c r="M38" s="41">
        <f t="shared" si="26"/>
        <v>747932.6</v>
      </c>
      <c r="N38" s="41">
        <f t="shared" si="26"/>
        <v>3492305.94</v>
      </c>
      <c r="O38" s="41">
        <f>+O31+O36</f>
        <v>227264.6</v>
      </c>
      <c r="P38" s="41">
        <f t="shared" ref="P38:AA38" si="27">+P31+P36</f>
        <v>330687.59999999998</v>
      </c>
      <c r="Q38" s="41">
        <f t="shared" si="27"/>
        <v>379877.6</v>
      </c>
      <c r="R38" s="41">
        <f t="shared" si="27"/>
        <v>424457.6</v>
      </c>
      <c r="S38" s="41">
        <f t="shared" si="27"/>
        <v>160207.6</v>
      </c>
      <c r="T38" s="41">
        <f t="shared" si="27"/>
        <v>160207.6</v>
      </c>
      <c r="U38" s="41">
        <f t="shared" si="27"/>
        <v>160207.6</v>
      </c>
      <c r="V38" s="41">
        <f t="shared" si="27"/>
        <v>145500</v>
      </c>
      <c r="W38" s="41">
        <f t="shared" si="27"/>
        <v>41000</v>
      </c>
      <c r="X38" s="41">
        <f t="shared" si="27"/>
        <v>41000</v>
      </c>
      <c r="Y38" s="41">
        <f t="shared" si="27"/>
        <v>41000</v>
      </c>
      <c r="Z38" s="41">
        <f t="shared" si="27"/>
        <v>35000</v>
      </c>
      <c r="AA38" s="41">
        <f t="shared" si="27"/>
        <v>2146410.2000000002</v>
      </c>
    </row>
    <row r="40" spans="1:27" ht="12.75" customHeight="1" x14ac:dyDescent="0.25">
      <c r="H40" s="12"/>
      <c r="O40" s="60">
        <f>+GETPIVOTDATA("Invoice Amount",$A$3,"Payment Year",2026,"Payment Month",1)-O25</f>
        <v>410632.75</v>
      </c>
      <c r="P40" s="60">
        <f>+GETPIVOTDATA("Invoice Amount",$A$3,"Payment Year",2026,"Payment Month",2)-P25</f>
        <v>-126257.59999999998</v>
      </c>
      <c r="Q40" s="60">
        <f>+GETPIVOTDATA("Invoice Amount",$A$3,"Payment Year",2026,"Payment Month",3)-Q25</f>
        <v>-178482.99999999997</v>
      </c>
    </row>
    <row r="41" spans="1:27" ht="12.75" customHeight="1" x14ac:dyDescent="0.25">
      <c r="H41" s="12"/>
    </row>
    <row r="42" spans="1:27" ht="12.75" customHeight="1" x14ac:dyDescent="0.25">
      <c r="H42" s="12"/>
      <c r="Q42" s="60">
        <f>SUM(O40:Q40)</f>
        <v>105892.15000000005</v>
      </c>
    </row>
    <row r="43" spans="1:27" ht="12.75" customHeight="1" x14ac:dyDescent="0.25">
      <c r="H43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1F27-B582-40C3-BA1B-F1DABE896B2A}">
  <dimension ref="A1:B43"/>
  <sheetViews>
    <sheetView workbookViewId="0">
      <selection activeCell="A16" sqref="A16"/>
    </sheetView>
  </sheetViews>
  <sheetFormatPr defaultRowHeight="12.75" customHeight="1" x14ac:dyDescent="0.25"/>
  <cols>
    <col min="1" max="1" width="68.7109375" style="9" bestFit="1" customWidth="1"/>
    <col min="2" max="2" width="10.42578125" style="9" bestFit="1" customWidth="1"/>
    <col min="3" max="16384" width="9.140625" style="9"/>
  </cols>
  <sheetData>
    <row r="1" spans="1:2" ht="12.75" customHeight="1" x14ac:dyDescent="0.25">
      <c r="A1" s="8" t="s">
        <v>39</v>
      </c>
      <c r="B1" s="9" t="s">
        <v>40</v>
      </c>
    </row>
    <row r="3" spans="1:2" ht="40.5" x14ac:dyDescent="0.25">
      <c r="A3" s="8" t="s">
        <v>43</v>
      </c>
      <c r="B3" s="29" t="s">
        <v>44</v>
      </c>
    </row>
    <row r="4" spans="1:2" ht="12.75" customHeight="1" x14ac:dyDescent="0.25">
      <c r="A4" s="11" t="s">
        <v>9</v>
      </c>
      <c r="B4" s="17">
        <v>50.857142857142854</v>
      </c>
    </row>
    <row r="5" spans="1:2" ht="12.75" customHeight="1" x14ac:dyDescent="0.25">
      <c r="A5" s="11" t="s">
        <v>52</v>
      </c>
      <c r="B5" s="17">
        <v>40</v>
      </c>
    </row>
    <row r="6" spans="1:2" ht="12.75" customHeight="1" x14ac:dyDescent="0.25">
      <c r="A6" s="11" t="s">
        <v>16</v>
      </c>
      <c r="B6" s="17">
        <v>23</v>
      </c>
    </row>
    <row r="7" spans="1:2" ht="12.75" customHeight="1" x14ac:dyDescent="0.25">
      <c r="A7" s="11" t="s">
        <v>130</v>
      </c>
      <c r="B7" s="17">
        <v>7</v>
      </c>
    </row>
    <row r="8" spans="1:2" ht="12.75" customHeight="1" x14ac:dyDescent="0.25">
      <c r="A8" s="11" t="s">
        <v>1</v>
      </c>
      <c r="B8" s="17">
        <v>32.333333333333336</v>
      </c>
    </row>
    <row r="9" spans="1:2" ht="12.75" customHeight="1" x14ac:dyDescent="0.25">
      <c r="A9" s="11" t="s">
        <v>2</v>
      </c>
      <c r="B9" s="17">
        <v>48.416666666666664</v>
      </c>
    </row>
    <row r="10" spans="1:2" ht="12.75" customHeight="1" x14ac:dyDescent="0.25">
      <c r="A10" s="11" t="s">
        <v>131</v>
      </c>
      <c r="B10" s="17">
        <v>45</v>
      </c>
    </row>
    <row r="11" spans="1:2" ht="12.75" customHeight="1" x14ac:dyDescent="0.25">
      <c r="A11" s="11" t="s">
        <v>88</v>
      </c>
      <c r="B11" s="17">
        <v>48</v>
      </c>
    </row>
    <row r="12" spans="1:2" ht="12.75" customHeight="1" x14ac:dyDescent="0.25">
      <c r="A12" s="11" t="s">
        <v>11</v>
      </c>
      <c r="B12" s="17">
        <v>36.25</v>
      </c>
    </row>
    <row r="13" spans="1:2" ht="12.75" customHeight="1" x14ac:dyDescent="0.25">
      <c r="A13" s="11" t="s">
        <v>53</v>
      </c>
      <c r="B13" s="17">
        <v>41.285714285714285</v>
      </c>
    </row>
    <row r="14" spans="1:2" ht="12.75" customHeight="1" x14ac:dyDescent="0.25">
      <c r="A14" s="11" t="s">
        <v>45</v>
      </c>
      <c r="B14" s="17">
        <v>50.25</v>
      </c>
    </row>
    <row r="15" spans="1:2" ht="12.75" customHeight="1" x14ac:dyDescent="0.25">
      <c r="A15" s="11" t="s">
        <v>46</v>
      </c>
      <c r="B15" s="17">
        <v>40.857142857142854</v>
      </c>
    </row>
    <row r="16" spans="1:2" ht="12.75" customHeight="1" x14ac:dyDescent="0.25">
      <c r="A16" s="11" t="s">
        <v>13</v>
      </c>
      <c r="B16" s="17">
        <v>42.25</v>
      </c>
    </row>
    <row r="17" spans="1:2" ht="12.75" customHeight="1" x14ac:dyDescent="0.25">
      <c r="A17" s="11" t="s">
        <v>56</v>
      </c>
      <c r="B17" s="17">
        <v>43.857142857142854</v>
      </c>
    </row>
    <row r="18" spans="1:2" ht="12.75" customHeight="1" x14ac:dyDescent="0.25">
      <c r="A18" s="11" t="s">
        <v>47</v>
      </c>
      <c r="B18" s="17">
        <v>40.4</v>
      </c>
    </row>
    <row r="19" spans="1:2" ht="12.75" customHeight="1" x14ac:dyDescent="0.25">
      <c r="A19" s="11" t="s">
        <v>48</v>
      </c>
      <c r="B19" s="17">
        <v>23.25</v>
      </c>
    </row>
    <row r="20" spans="1:2" ht="12.75" customHeight="1" x14ac:dyDescent="0.25">
      <c r="A20" s="11" t="s">
        <v>100</v>
      </c>
      <c r="B20" s="17">
        <v>30</v>
      </c>
    </row>
    <row r="21" spans="1:2" ht="12.75" customHeight="1" x14ac:dyDescent="0.25">
      <c r="A21" s="11" t="s">
        <v>49</v>
      </c>
      <c r="B21" s="17">
        <v>38.857142857142854</v>
      </c>
    </row>
    <row r="22" spans="1:2" ht="12.75" customHeight="1" x14ac:dyDescent="0.25">
      <c r="A22" s="11" t="s">
        <v>15</v>
      </c>
      <c r="B22" s="17">
        <v>76</v>
      </c>
    </row>
    <row r="23" spans="1:2" ht="12.75" customHeight="1" x14ac:dyDescent="0.25">
      <c r="A23" s="11" t="s">
        <v>14</v>
      </c>
      <c r="B23" s="17">
        <v>60</v>
      </c>
    </row>
    <row r="24" spans="1:2" ht="12.75" customHeight="1" x14ac:dyDescent="0.25">
      <c r="A24" s="11" t="s">
        <v>97</v>
      </c>
      <c r="B24" s="17">
        <v>54.5</v>
      </c>
    </row>
    <row r="25" spans="1:2" ht="12.75" customHeight="1" x14ac:dyDescent="0.25">
      <c r="A25" s="11" t="s">
        <v>98</v>
      </c>
      <c r="B25" s="17">
        <v>31.5</v>
      </c>
    </row>
    <row r="26" spans="1:2" ht="12.75" customHeight="1" x14ac:dyDescent="0.25">
      <c r="A26" s="11" t="s">
        <v>3</v>
      </c>
      <c r="B26" s="17">
        <v>29.333333333333332</v>
      </c>
    </row>
    <row r="27" spans="1:2" ht="12.75" customHeight="1" x14ac:dyDescent="0.25">
      <c r="A27" s="11" t="s">
        <v>4</v>
      </c>
      <c r="B27" s="17">
        <v>28.8</v>
      </c>
    </row>
    <row r="28" spans="1:2" ht="12.75" customHeight="1" x14ac:dyDescent="0.25">
      <c r="A28" s="11" t="s">
        <v>129</v>
      </c>
      <c r="B28" s="17">
        <v>43</v>
      </c>
    </row>
    <row r="29" spans="1:2" ht="12.75" customHeight="1" x14ac:dyDescent="0.25">
      <c r="A29" s="11" t="s">
        <v>5</v>
      </c>
      <c r="B29" s="17">
        <v>27.142857142857142</v>
      </c>
    </row>
    <row r="30" spans="1:2" ht="12.75" customHeight="1" x14ac:dyDescent="0.25">
      <c r="A30" s="11" t="s">
        <v>34</v>
      </c>
      <c r="B30" s="17">
        <v>25.166666666666668</v>
      </c>
    </row>
    <row r="31" spans="1:2" ht="12.75" customHeight="1" x14ac:dyDescent="0.25">
      <c r="A31" s="11" t="s">
        <v>107</v>
      </c>
      <c r="B31" s="17">
        <v>44.666666666666664</v>
      </c>
    </row>
    <row r="32" spans="1:2" ht="12.75" customHeight="1" x14ac:dyDescent="0.25">
      <c r="A32" s="11" t="s">
        <v>99</v>
      </c>
      <c r="B32" s="17">
        <v>49.5</v>
      </c>
    </row>
    <row r="33" spans="1:2" ht="12.75" customHeight="1" x14ac:dyDescent="0.25">
      <c r="A33" s="11" t="s">
        <v>6</v>
      </c>
      <c r="B33" s="17">
        <v>33.75</v>
      </c>
    </row>
    <row r="34" spans="1:2" ht="12.75" customHeight="1" x14ac:dyDescent="0.25">
      <c r="A34" s="11" t="s">
        <v>89</v>
      </c>
      <c r="B34" s="17">
        <v>40.5</v>
      </c>
    </row>
    <row r="35" spans="1:2" ht="12.75" customHeight="1" x14ac:dyDescent="0.25">
      <c r="A35" s="11" t="s">
        <v>12</v>
      </c>
      <c r="B35" s="17">
        <v>35.75</v>
      </c>
    </row>
    <row r="36" spans="1:2" ht="12.75" customHeight="1" x14ac:dyDescent="0.25">
      <c r="A36" s="11" t="s">
        <v>7</v>
      </c>
      <c r="B36" s="17">
        <v>13</v>
      </c>
    </row>
    <row r="37" spans="1:2" ht="12.75" customHeight="1" x14ac:dyDescent="0.25">
      <c r="A37" s="11" t="s">
        <v>35</v>
      </c>
      <c r="B37" s="17">
        <v>25.714285714285715</v>
      </c>
    </row>
    <row r="38" spans="1:2" ht="12.75" customHeight="1" x14ac:dyDescent="0.25">
      <c r="A38" s="11" t="s">
        <v>36</v>
      </c>
      <c r="B38" s="17">
        <v>23.166666666666668</v>
      </c>
    </row>
    <row r="39" spans="1:2" ht="12.75" customHeight="1" x14ac:dyDescent="0.25">
      <c r="A39" s="11" t="s">
        <v>55</v>
      </c>
      <c r="B39" s="17">
        <v>115.14285714285714</v>
      </c>
    </row>
    <row r="40" spans="1:2" ht="12.75" customHeight="1" x14ac:dyDescent="0.25">
      <c r="A40" s="11" t="s">
        <v>54</v>
      </c>
      <c r="B40" s="17">
        <v>96.666666666666671</v>
      </c>
    </row>
    <row r="41" spans="1:2" ht="12.75" customHeight="1" x14ac:dyDescent="0.25">
      <c r="A41" s="11" t="s">
        <v>50</v>
      </c>
      <c r="B41" s="17">
        <v>33</v>
      </c>
    </row>
    <row r="42" spans="1:2" ht="12.75" customHeight="1" x14ac:dyDescent="0.25">
      <c r="A42" s="11" t="s">
        <v>51</v>
      </c>
      <c r="B42" s="17">
        <v>43</v>
      </c>
    </row>
    <row r="43" spans="1:2" ht="12.75" customHeight="1" x14ac:dyDescent="0.25">
      <c r="A43" s="11" t="s">
        <v>29</v>
      </c>
      <c r="B43" s="17">
        <v>45.5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3737-EEC8-495B-9259-6340B4F912C1}">
  <dimension ref="A1:G38"/>
  <sheetViews>
    <sheetView workbookViewId="0">
      <selection activeCell="E7" sqref="E7"/>
    </sheetView>
  </sheetViews>
  <sheetFormatPr defaultRowHeight="13.5" x14ac:dyDescent="0.25"/>
  <cols>
    <col min="1" max="1" width="12" style="9" bestFit="1" customWidth="1"/>
    <col min="2" max="2" width="18.85546875" style="9" bestFit="1" customWidth="1"/>
    <col min="3" max="3" width="2.7109375" style="9" customWidth="1"/>
    <col min="4" max="4" width="13.5703125" style="9" bestFit="1" customWidth="1"/>
    <col min="5" max="5" width="11.85546875" style="9" bestFit="1" customWidth="1"/>
    <col min="6" max="6" width="2.7109375" style="9" customWidth="1"/>
    <col min="7" max="13" width="11.85546875" style="9" bestFit="1" customWidth="1"/>
    <col min="14" max="14" width="13.5703125" style="9" bestFit="1" customWidth="1"/>
    <col min="15" max="22" width="11.85546875" style="9" bestFit="1" customWidth="1"/>
    <col min="23" max="26" width="10.85546875" style="9" bestFit="1" customWidth="1"/>
    <col min="27" max="27" width="13.5703125" style="9" bestFit="1" customWidth="1"/>
    <col min="28" max="31" width="10.85546875" style="9" bestFit="1" customWidth="1"/>
    <col min="32" max="32" width="11.85546875" style="9" bestFit="1" customWidth="1"/>
    <col min="33" max="34" width="10.85546875" style="9" bestFit="1" customWidth="1"/>
    <col min="35" max="35" width="11.85546875" style="9" bestFit="1" customWidth="1"/>
    <col min="36" max="36" width="13.5703125" style="9" bestFit="1" customWidth="1"/>
    <col min="37" max="16384" width="9.140625" style="9"/>
  </cols>
  <sheetData>
    <row r="1" spans="1:7" x14ac:dyDescent="0.25">
      <c r="A1" s="8" t="s">
        <v>39</v>
      </c>
      <c r="B1" s="9" t="s">
        <v>122</v>
      </c>
    </row>
    <row r="3" spans="1:7" x14ac:dyDescent="0.25">
      <c r="A3" s="8" t="s">
        <v>43</v>
      </c>
      <c r="B3" s="9" t="s">
        <v>31</v>
      </c>
      <c r="D3" s="53" t="s">
        <v>120</v>
      </c>
      <c r="E3" s="53" t="s">
        <v>121</v>
      </c>
    </row>
    <row r="4" spans="1:7" x14ac:dyDescent="0.25">
      <c r="A4" s="54">
        <v>2025</v>
      </c>
      <c r="B4" s="55">
        <v>3389043.25</v>
      </c>
      <c r="D4" s="31"/>
      <c r="E4" s="56"/>
    </row>
    <row r="5" spans="1:7" x14ac:dyDescent="0.25">
      <c r="A5" s="57">
        <v>1</v>
      </c>
      <c r="B5" s="55">
        <v>276138.86</v>
      </c>
      <c r="D5" s="31" t="s">
        <v>117</v>
      </c>
      <c r="E5" s="56">
        <f>+GETPIVOTDATA("Invoice Amount",$A$3,"Payment Year",2026)</f>
        <v>2267585.6</v>
      </c>
    </row>
    <row r="6" spans="1:7" x14ac:dyDescent="0.25">
      <c r="A6" s="57">
        <v>2</v>
      </c>
      <c r="B6" s="55">
        <v>353659.1</v>
      </c>
      <c r="D6" s="31" t="s">
        <v>118</v>
      </c>
      <c r="E6" s="56">
        <f>+GETPIVOTDATA("Invoice Amount",$A$3,"Payment Year",2027)</f>
        <v>205989</v>
      </c>
    </row>
    <row r="7" spans="1:7" x14ac:dyDescent="0.25">
      <c r="A7" s="57">
        <v>3</v>
      </c>
      <c r="B7" s="55">
        <v>275252.47999999998</v>
      </c>
      <c r="D7" s="31" t="s">
        <v>119</v>
      </c>
      <c r="E7" s="56">
        <f>+GETPIVOTDATA("Invoice Amount",$A$3,"Payment Year",2028)</f>
        <v>120000</v>
      </c>
    </row>
    <row r="8" spans="1:7" x14ac:dyDescent="0.25">
      <c r="A8" s="57">
        <v>4</v>
      </c>
      <c r="B8" s="55">
        <v>212032.7</v>
      </c>
    </row>
    <row r="9" spans="1:7" x14ac:dyDescent="0.25">
      <c r="A9" s="57">
        <v>5</v>
      </c>
      <c r="B9" s="55">
        <v>192782.4</v>
      </c>
      <c r="D9" s="31" t="s">
        <v>94</v>
      </c>
      <c r="E9" s="58">
        <f>SUM(E4:E7)</f>
        <v>2593574.6</v>
      </c>
      <c r="G9" s="9" t="s">
        <v>123</v>
      </c>
    </row>
    <row r="10" spans="1:7" x14ac:dyDescent="0.25">
      <c r="A10" s="57">
        <v>6</v>
      </c>
      <c r="B10" s="55">
        <v>116067.4</v>
      </c>
    </row>
    <row r="11" spans="1:7" x14ac:dyDescent="0.25">
      <c r="A11" s="57">
        <v>7</v>
      </c>
      <c r="B11" s="55">
        <v>325181</v>
      </c>
    </row>
    <row r="12" spans="1:7" x14ac:dyDescent="0.25">
      <c r="A12" s="57">
        <v>8</v>
      </c>
      <c r="B12" s="55">
        <v>185438.6</v>
      </c>
    </row>
    <row r="13" spans="1:7" x14ac:dyDescent="0.25">
      <c r="A13" s="57">
        <v>9</v>
      </c>
      <c r="B13" s="55">
        <v>108977.5</v>
      </c>
    </row>
    <row r="14" spans="1:7" x14ac:dyDescent="0.25">
      <c r="A14" s="57">
        <v>10</v>
      </c>
      <c r="B14" s="55">
        <v>274333.2</v>
      </c>
    </row>
    <row r="15" spans="1:7" x14ac:dyDescent="0.25">
      <c r="A15" s="57">
        <v>11</v>
      </c>
      <c r="B15" s="55">
        <v>424510.1</v>
      </c>
    </row>
    <row r="16" spans="1:7" x14ac:dyDescent="0.25">
      <c r="A16" s="57">
        <v>12</v>
      </c>
      <c r="B16" s="55">
        <v>644669.90999999992</v>
      </c>
    </row>
    <row r="17" spans="1:2" x14ac:dyDescent="0.25">
      <c r="A17" s="54">
        <v>2026</v>
      </c>
      <c r="B17" s="55">
        <v>2267585.6</v>
      </c>
    </row>
    <row r="18" spans="1:2" x14ac:dyDescent="0.25">
      <c r="A18" s="57">
        <v>1</v>
      </c>
      <c r="B18" s="55">
        <v>637897.35</v>
      </c>
    </row>
    <row r="19" spans="1:2" x14ac:dyDescent="0.25">
      <c r="A19" s="57">
        <v>2</v>
      </c>
      <c r="B19" s="55">
        <v>204430</v>
      </c>
    </row>
    <row r="20" spans="1:2" x14ac:dyDescent="0.25">
      <c r="A20" s="57">
        <v>3</v>
      </c>
      <c r="B20" s="55">
        <v>201394.6</v>
      </c>
    </row>
    <row r="21" spans="1:2" x14ac:dyDescent="0.25">
      <c r="A21" s="57">
        <v>4</v>
      </c>
      <c r="B21" s="55">
        <v>289457.59999999998</v>
      </c>
    </row>
    <row r="22" spans="1:2" x14ac:dyDescent="0.25">
      <c r="A22" s="57">
        <v>5</v>
      </c>
      <c r="B22" s="55">
        <v>289652.59999999998</v>
      </c>
    </row>
    <row r="23" spans="1:2" x14ac:dyDescent="0.25">
      <c r="A23" s="57">
        <v>6</v>
      </c>
      <c r="B23" s="55">
        <v>199207.6</v>
      </c>
    </row>
    <row r="24" spans="1:2" x14ac:dyDescent="0.25">
      <c r="A24" s="57">
        <v>7</v>
      </c>
      <c r="B24" s="55">
        <v>147395.85</v>
      </c>
    </row>
    <row r="25" spans="1:2" x14ac:dyDescent="0.25">
      <c r="A25" s="57">
        <v>8</v>
      </c>
      <c r="B25" s="55">
        <v>132430</v>
      </c>
    </row>
    <row r="26" spans="1:2" x14ac:dyDescent="0.25">
      <c r="A26" s="57">
        <v>9</v>
      </c>
      <c r="B26" s="55">
        <v>42930</v>
      </c>
    </row>
    <row r="27" spans="1:2" x14ac:dyDescent="0.25">
      <c r="A27" s="57">
        <v>10</v>
      </c>
      <c r="B27" s="55">
        <v>42930</v>
      </c>
    </row>
    <row r="28" spans="1:2" x14ac:dyDescent="0.25">
      <c r="A28" s="57">
        <v>11</v>
      </c>
      <c r="B28" s="55">
        <v>42930</v>
      </c>
    </row>
    <row r="29" spans="1:2" x14ac:dyDescent="0.25">
      <c r="A29" s="57">
        <v>12</v>
      </c>
      <c r="B29" s="55">
        <v>36930</v>
      </c>
    </row>
    <row r="30" spans="1:2" x14ac:dyDescent="0.25">
      <c r="A30" s="54">
        <v>2027</v>
      </c>
      <c r="B30" s="55">
        <v>205989</v>
      </c>
    </row>
    <row r="31" spans="1:2" x14ac:dyDescent="0.25">
      <c r="A31" s="57">
        <v>1</v>
      </c>
      <c r="B31" s="55">
        <v>61930</v>
      </c>
    </row>
    <row r="32" spans="1:2" x14ac:dyDescent="0.25">
      <c r="A32" s="57">
        <v>3</v>
      </c>
      <c r="B32" s="55">
        <v>24059</v>
      </c>
    </row>
    <row r="33" spans="1:2" x14ac:dyDescent="0.25">
      <c r="A33" s="57">
        <v>4</v>
      </c>
      <c r="B33" s="55">
        <v>60000</v>
      </c>
    </row>
    <row r="34" spans="1:2" x14ac:dyDescent="0.25">
      <c r="A34" s="57">
        <v>5</v>
      </c>
      <c r="B34" s="55">
        <v>60000</v>
      </c>
    </row>
    <row r="35" spans="1:2" x14ac:dyDescent="0.25">
      <c r="A35" s="54">
        <v>2028</v>
      </c>
      <c r="B35" s="55">
        <v>120000</v>
      </c>
    </row>
    <row r="36" spans="1:2" x14ac:dyDescent="0.25">
      <c r="A36" s="57">
        <v>4</v>
      </c>
      <c r="B36" s="55">
        <v>60000</v>
      </c>
    </row>
    <row r="37" spans="1:2" x14ac:dyDescent="0.25">
      <c r="A37" s="57">
        <v>5</v>
      </c>
      <c r="B37" s="55">
        <v>60000</v>
      </c>
    </row>
    <row r="38" spans="1:2" x14ac:dyDescent="0.25">
      <c r="A38" s="54" t="s">
        <v>29</v>
      </c>
      <c r="B38" s="55">
        <v>5982617.8499999978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580C-ABC1-482A-BE78-7D95208AA133}">
  <sheetPr>
    <tabColor rgb="FF00B050"/>
  </sheetPr>
  <dimension ref="A1:Q333"/>
  <sheetViews>
    <sheetView topLeftCell="A82" workbookViewId="0">
      <selection activeCell="H107" sqref="H107:H108"/>
    </sheetView>
  </sheetViews>
  <sheetFormatPr defaultRowHeight="12.75" customHeight="1" x14ac:dyDescent="0.25"/>
  <cols>
    <col min="1" max="1" width="70.28515625" style="2" customWidth="1"/>
    <col min="2" max="3" width="12.7109375" style="2" customWidth="1"/>
    <col min="4" max="4" width="15.140625" style="2" customWidth="1"/>
    <col min="5" max="5" width="16.140625" style="2" bestFit="1" customWidth="1"/>
    <col min="6" max="6" width="13.5703125" style="2" customWidth="1"/>
    <col min="7" max="7" width="16.28515625" style="2" customWidth="1"/>
    <col min="8" max="8" width="18.28515625" style="2" customWidth="1"/>
    <col min="9" max="9" width="13.140625" style="2" bestFit="1" customWidth="1"/>
    <col min="10" max="13" width="8.7109375" style="2" customWidth="1"/>
    <col min="14" max="14" width="10.7109375" style="2" customWidth="1"/>
    <col min="15" max="15" width="5.42578125" style="2" customWidth="1"/>
    <col min="16" max="16" width="27.42578125" style="2" customWidth="1"/>
    <col min="17" max="19" width="11.42578125" style="2" bestFit="1" customWidth="1"/>
    <col min="20" max="16384" width="9.140625" style="2"/>
  </cols>
  <sheetData>
    <row r="1" spans="1:15" ht="12.75" customHeight="1" x14ac:dyDescent="0.25">
      <c r="A1" s="4" t="s">
        <v>20</v>
      </c>
      <c r="B1" s="27" t="s">
        <v>58</v>
      </c>
      <c r="C1" s="27" t="s">
        <v>59</v>
      </c>
      <c r="D1" s="27" t="s">
        <v>39</v>
      </c>
      <c r="E1" s="5" t="s">
        <v>22</v>
      </c>
      <c r="F1" s="5" t="s">
        <v>21</v>
      </c>
      <c r="G1" s="5" t="s">
        <v>23</v>
      </c>
      <c r="H1" s="5" t="s">
        <v>24</v>
      </c>
      <c r="I1" s="5" t="s">
        <v>19</v>
      </c>
      <c r="J1" s="5" t="s">
        <v>27</v>
      </c>
      <c r="K1" s="5" t="s">
        <v>25</v>
      </c>
      <c r="L1" s="5" t="s">
        <v>28</v>
      </c>
      <c r="M1" s="5" t="s">
        <v>26</v>
      </c>
      <c r="N1" s="5" t="s">
        <v>38</v>
      </c>
    </row>
    <row r="2" spans="1:15" ht="12.75" customHeight="1" x14ac:dyDescent="0.25">
      <c r="A2" s="2" t="s">
        <v>9</v>
      </c>
      <c r="B2" s="3" t="s">
        <v>61</v>
      </c>
      <c r="C2" s="3" t="s">
        <v>62</v>
      </c>
      <c r="D2" s="3" t="s">
        <v>40</v>
      </c>
      <c r="E2" s="3" t="s">
        <v>0</v>
      </c>
      <c r="F2" s="23">
        <v>45596</v>
      </c>
      <c r="G2" s="3" t="s">
        <v>17</v>
      </c>
      <c r="H2" s="6">
        <v>41184</v>
      </c>
      <c r="I2" s="23">
        <v>45685</v>
      </c>
      <c r="J2" s="7">
        <f t="shared" ref="J2:J116" si="0">YEAR(F2)</f>
        <v>2024</v>
      </c>
      <c r="K2" s="7">
        <f t="shared" ref="K2:K116" si="1">MONTH(F2)</f>
        <v>10</v>
      </c>
      <c r="L2" s="7">
        <f t="shared" ref="L2:L116" si="2">YEAR(I2)</f>
        <v>2025</v>
      </c>
      <c r="M2" s="7">
        <f t="shared" ref="M2:M116" si="3">MONTH(I2)</f>
        <v>1</v>
      </c>
      <c r="N2" s="7">
        <f>+I2-F2</f>
        <v>89</v>
      </c>
    </row>
    <row r="3" spans="1:15" ht="12.75" customHeight="1" x14ac:dyDescent="0.25">
      <c r="A3" s="2" t="s">
        <v>9</v>
      </c>
      <c r="B3" s="3" t="s">
        <v>61</v>
      </c>
      <c r="C3" s="3" t="s">
        <v>62</v>
      </c>
      <c r="D3" s="3" t="s">
        <v>40</v>
      </c>
      <c r="E3" s="3" t="s">
        <v>0</v>
      </c>
      <c r="F3" s="23">
        <v>45640</v>
      </c>
      <c r="G3" s="3">
        <v>6153</v>
      </c>
      <c r="H3" s="6">
        <v>19448</v>
      </c>
      <c r="I3" s="23">
        <v>45687</v>
      </c>
      <c r="J3" s="7">
        <f t="shared" ref="J3:J66" si="4">YEAR(F3)</f>
        <v>2024</v>
      </c>
      <c r="K3" s="7">
        <f t="shared" ref="K3:K66" si="5">MONTH(F3)</f>
        <v>12</v>
      </c>
      <c r="L3" s="7">
        <f t="shared" ref="L3:L66" si="6">YEAR(I3)</f>
        <v>2025</v>
      </c>
      <c r="M3" s="7">
        <f t="shared" ref="M3:M66" si="7">MONTH(I3)</f>
        <v>1</v>
      </c>
      <c r="N3" s="7">
        <f t="shared" ref="N3:N66" si="8">+I3-F3</f>
        <v>47</v>
      </c>
    </row>
    <row r="4" spans="1:15" ht="12.75" customHeight="1" x14ac:dyDescent="0.25">
      <c r="A4" s="2" t="s">
        <v>9</v>
      </c>
      <c r="B4" s="3" t="s">
        <v>61</v>
      </c>
      <c r="C4" s="3" t="s">
        <v>62</v>
      </c>
      <c r="D4" s="3" t="s">
        <v>40</v>
      </c>
      <c r="E4" s="3" t="s">
        <v>0</v>
      </c>
      <c r="F4" s="23">
        <v>45661</v>
      </c>
      <c r="G4" s="3" t="s">
        <v>8</v>
      </c>
      <c r="H4" s="6">
        <v>18447</v>
      </c>
      <c r="I4" s="23">
        <v>45743</v>
      </c>
      <c r="J4" s="7">
        <f t="shared" si="4"/>
        <v>2025</v>
      </c>
      <c r="K4" s="7">
        <f t="shared" si="5"/>
        <v>1</v>
      </c>
      <c r="L4" s="7">
        <f t="shared" si="6"/>
        <v>2025</v>
      </c>
      <c r="M4" s="7">
        <f t="shared" si="7"/>
        <v>3</v>
      </c>
      <c r="N4" s="7">
        <f t="shared" si="8"/>
        <v>82</v>
      </c>
    </row>
    <row r="5" spans="1:15" ht="12.75" customHeight="1" x14ac:dyDescent="0.25">
      <c r="A5" s="2" t="s">
        <v>9</v>
      </c>
      <c r="B5" s="3" t="s">
        <v>61</v>
      </c>
      <c r="C5" s="3" t="s">
        <v>62</v>
      </c>
      <c r="D5" s="3" t="s">
        <v>40</v>
      </c>
      <c r="E5" s="3" t="s">
        <v>0</v>
      </c>
      <c r="F5" s="23">
        <v>45675</v>
      </c>
      <c r="G5" s="3">
        <v>6167</v>
      </c>
      <c r="H5" s="6">
        <v>20592</v>
      </c>
      <c r="I5" s="23">
        <v>45713</v>
      </c>
      <c r="J5" s="7">
        <f t="shared" si="4"/>
        <v>2025</v>
      </c>
      <c r="K5" s="7">
        <f t="shared" si="5"/>
        <v>1</v>
      </c>
      <c r="L5" s="7">
        <f t="shared" si="6"/>
        <v>2025</v>
      </c>
      <c r="M5" s="7">
        <f t="shared" si="7"/>
        <v>2</v>
      </c>
      <c r="N5" s="7">
        <f t="shared" si="8"/>
        <v>38</v>
      </c>
    </row>
    <row r="6" spans="1:15" ht="12.75" customHeight="1" x14ac:dyDescent="0.25">
      <c r="A6" s="2" t="s">
        <v>9</v>
      </c>
      <c r="B6" s="3" t="s">
        <v>61</v>
      </c>
      <c r="C6" s="3" t="s">
        <v>62</v>
      </c>
      <c r="D6" s="3" t="s">
        <v>40</v>
      </c>
      <c r="E6" s="3" t="s">
        <v>0</v>
      </c>
      <c r="F6" s="23">
        <v>45688</v>
      </c>
      <c r="G6" s="3">
        <v>6168</v>
      </c>
      <c r="H6" s="6">
        <v>19448</v>
      </c>
      <c r="I6" s="23">
        <v>45713</v>
      </c>
      <c r="J6" s="7">
        <f t="shared" si="4"/>
        <v>2025</v>
      </c>
      <c r="K6" s="7">
        <f t="shared" si="5"/>
        <v>1</v>
      </c>
      <c r="L6" s="7">
        <f t="shared" si="6"/>
        <v>2025</v>
      </c>
      <c r="M6" s="7">
        <f t="shared" si="7"/>
        <v>2</v>
      </c>
      <c r="N6" s="7">
        <f t="shared" si="8"/>
        <v>25</v>
      </c>
    </row>
    <row r="7" spans="1:15" ht="12.75" customHeight="1" x14ac:dyDescent="0.25">
      <c r="A7" s="2" t="s">
        <v>9</v>
      </c>
      <c r="B7" s="3" t="s">
        <v>61</v>
      </c>
      <c r="C7" s="3" t="s">
        <v>62</v>
      </c>
      <c r="D7" s="3" t="s">
        <v>40</v>
      </c>
      <c r="E7" s="3" t="s">
        <v>0</v>
      </c>
      <c r="F7" s="23">
        <v>45703</v>
      </c>
      <c r="G7" s="3">
        <v>6181</v>
      </c>
      <c r="H7" s="6">
        <v>22880</v>
      </c>
      <c r="I7" s="23">
        <v>45744</v>
      </c>
      <c r="J7" s="7">
        <f t="shared" si="4"/>
        <v>2025</v>
      </c>
      <c r="K7" s="7">
        <f t="shared" si="5"/>
        <v>2</v>
      </c>
      <c r="L7" s="7">
        <f t="shared" si="6"/>
        <v>2025</v>
      </c>
      <c r="M7" s="7">
        <f t="shared" si="7"/>
        <v>3</v>
      </c>
      <c r="N7" s="7">
        <f t="shared" si="8"/>
        <v>41</v>
      </c>
    </row>
    <row r="8" spans="1:15" ht="12.75" customHeight="1" x14ac:dyDescent="0.25">
      <c r="A8" s="2" t="s">
        <v>9</v>
      </c>
      <c r="B8" s="3" t="s">
        <v>61</v>
      </c>
      <c r="C8" s="3" t="s">
        <v>62</v>
      </c>
      <c r="D8" s="3" t="s">
        <v>40</v>
      </c>
      <c r="E8" s="3" t="s">
        <v>0</v>
      </c>
      <c r="F8" s="23">
        <v>45716</v>
      </c>
      <c r="G8" s="3">
        <v>6182</v>
      </c>
      <c r="H8" s="6">
        <v>22880</v>
      </c>
      <c r="I8" s="23">
        <v>45750</v>
      </c>
      <c r="J8" s="7">
        <f t="shared" si="4"/>
        <v>2025</v>
      </c>
      <c r="K8" s="7">
        <f t="shared" si="5"/>
        <v>2</v>
      </c>
      <c r="L8" s="7">
        <f t="shared" si="6"/>
        <v>2025</v>
      </c>
      <c r="M8" s="7">
        <f t="shared" si="7"/>
        <v>4</v>
      </c>
      <c r="N8" s="7">
        <f t="shared" si="8"/>
        <v>34</v>
      </c>
    </row>
    <row r="9" spans="1:15" ht="12.75" customHeight="1" x14ac:dyDescent="0.25">
      <c r="A9" s="2" t="s">
        <v>52</v>
      </c>
      <c r="B9" s="3" t="s">
        <v>64</v>
      </c>
      <c r="C9" s="3" t="s">
        <v>62</v>
      </c>
      <c r="D9" s="3" t="s">
        <v>40</v>
      </c>
      <c r="E9" s="3" t="s">
        <v>0</v>
      </c>
      <c r="F9" s="23">
        <v>45828</v>
      </c>
      <c r="G9" s="3">
        <v>6228</v>
      </c>
      <c r="H9" s="6">
        <v>9987</v>
      </c>
      <c r="I9" s="23">
        <v>45828</v>
      </c>
      <c r="J9" s="7">
        <f t="shared" si="4"/>
        <v>2025</v>
      </c>
      <c r="K9" s="7">
        <f t="shared" si="5"/>
        <v>6</v>
      </c>
      <c r="L9" s="7">
        <f t="shared" si="6"/>
        <v>2025</v>
      </c>
      <c r="M9" s="7">
        <f t="shared" si="7"/>
        <v>6</v>
      </c>
      <c r="N9" s="7">
        <f t="shared" si="8"/>
        <v>0</v>
      </c>
      <c r="O9" s="30"/>
    </row>
    <row r="10" spans="1:15" ht="12.75" customHeight="1" x14ac:dyDescent="0.25">
      <c r="A10" s="2" t="s">
        <v>52</v>
      </c>
      <c r="B10" s="3" t="s">
        <v>64</v>
      </c>
      <c r="C10" s="3" t="s">
        <v>62</v>
      </c>
      <c r="D10" s="3" t="s">
        <v>40</v>
      </c>
      <c r="E10" s="3" t="s">
        <v>0</v>
      </c>
      <c r="F10" s="23">
        <v>45930</v>
      </c>
      <c r="G10" s="3">
        <v>6289</v>
      </c>
      <c r="H10" s="6">
        <v>145000</v>
      </c>
      <c r="I10" s="23">
        <v>46010</v>
      </c>
      <c r="J10" s="7">
        <f t="shared" si="4"/>
        <v>2025</v>
      </c>
      <c r="K10" s="7">
        <f t="shared" si="5"/>
        <v>9</v>
      </c>
      <c r="L10" s="7">
        <f t="shared" si="6"/>
        <v>2025</v>
      </c>
      <c r="M10" s="7">
        <f t="shared" si="7"/>
        <v>12</v>
      </c>
      <c r="N10" s="7">
        <f t="shared" si="8"/>
        <v>80</v>
      </c>
      <c r="O10" s="30"/>
    </row>
    <row r="11" spans="1:15" ht="12.75" customHeight="1" x14ac:dyDescent="0.25">
      <c r="A11" s="13" t="s">
        <v>52</v>
      </c>
      <c r="B11" s="14" t="s">
        <v>64</v>
      </c>
      <c r="C11" s="14" t="s">
        <v>62</v>
      </c>
      <c r="D11" s="14" t="s">
        <v>41</v>
      </c>
      <c r="E11" s="14" t="s">
        <v>0</v>
      </c>
      <c r="F11" s="24">
        <v>46142</v>
      </c>
      <c r="G11" s="14" t="s">
        <v>32</v>
      </c>
      <c r="H11" s="15">
        <v>55000</v>
      </c>
      <c r="I11" s="26">
        <f>+F11+60</f>
        <v>46202</v>
      </c>
      <c r="J11" s="16">
        <f t="shared" si="4"/>
        <v>2026</v>
      </c>
      <c r="K11" s="16">
        <f t="shared" si="5"/>
        <v>4</v>
      </c>
      <c r="L11" s="16">
        <f t="shared" si="6"/>
        <v>2026</v>
      </c>
      <c r="M11" s="16">
        <f t="shared" si="7"/>
        <v>6</v>
      </c>
      <c r="N11" s="16">
        <f t="shared" si="8"/>
        <v>60</v>
      </c>
      <c r="O11" s="30"/>
    </row>
    <row r="12" spans="1:15" ht="12.75" customHeight="1" x14ac:dyDescent="0.25">
      <c r="A12" s="2" t="s">
        <v>16</v>
      </c>
      <c r="B12" s="3" t="s">
        <v>61</v>
      </c>
      <c r="C12" s="3" t="s">
        <v>66</v>
      </c>
      <c r="D12" s="3" t="s">
        <v>40</v>
      </c>
      <c r="E12" s="3" t="s">
        <v>0</v>
      </c>
      <c r="F12" s="23">
        <v>45657</v>
      </c>
      <c r="G12" s="3">
        <v>6149</v>
      </c>
      <c r="H12" s="6">
        <v>6195</v>
      </c>
      <c r="I12" s="23">
        <v>45680</v>
      </c>
      <c r="J12" s="7">
        <f t="shared" si="4"/>
        <v>2024</v>
      </c>
      <c r="K12" s="7">
        <f t="shared" si="5"/>
        <v>12</v>
      </c>
      <c r="L12" s="7">
        <f t="shared" si="6"/>
        <v>2025</v>
      </c>
      <c r="M12" s="7">
        <f t="shared" si="7"/>
        <v>1</v>
      </c>
      <c r="N12" s="7">
        <f t="shared" si="8"/>
        <v>23</v>
      </c>
    </row>
    <row r="13" spans="1:15" ht="12.75" customHeight="1" x14ac:dyDescent="0.25">
      <c r="A13" s="2" t="s">
        <v>130</v>
      </c>
      <c r="B13" s="3" t="s">
        <v>64</v>
      </c>
      <c r="C13" s="3" t="s">
        <v>66</v>
      </c>
      <c r="D13" s="3" t="s">
        <v>40</v>
      </c>
      <c r="E13" s="3" t="s">
        <v>0</v>
      </c>
      <c r="F13" s="23">
        <v>46006</v>
      </c>
      <c r="G13" s="3">
        <v>6326</v>
      </c>
      <c r="H13" s="6">
        <v>23000</v>
      </c>
      <c r="I13" s="23">
        <v>46013</v>
      </c>
      <c r="J13" s="7">
        <f t="shared" si="4"/>
        <v>2025</v>
      </c>
      <c r="K13" s="7">
        <f t="shared" si="5"/>
        <v>12</v>
      </c>
      <c r="L13" s="7">
        <f t="shared" si="6"/>
        <v>2025</v>
      </c>
      <c r="M13" s="7">
        <f t="shared" si="7"/>
        <v>12</v>
      </c>
      <c r="N13" s="7">
        <f t="shared" si="8"/>
        <v>7</v>
      </c>
    </row>
    <row r="14" spans="1:15" ht="12.75" customHeight="1" x14ac:dyDescent="0.25">
      <c r="A14" s="13" t="s">
        <v>130</v>
      </c>
      <c r="B14" s="14" t="s">
        <v>64</v>
      </c>
      <c r="C14" s="14" t="s">
        <v>66</v>
      </c>
      <c r="D14" s="14" t="s">
        <v>41</v>
      </c>
      <c r="E14" s="14" t="s">
        <v>0</v>
      </c>
      <c r="F14" s="24">
        <v>46081</v>
      </c>
      <c r="G14" s="14" t="s">
        <v>32</v>
      </c>
      <c r="H14" s="15">
        <f>45000-H13</f>
        <v>22000</v>
      </c>
      <c r="I14" s="26">
        <f>+F14+60</f>
        <v>46141</v>
      </c>
      <c r="J14" s="16">
        <f t="shared" si="4"/>
        <v>2026</v>
      </c>
      <c r="K14" s="16">
        <f t="shared" si="5"/>
        <v>2</v>
      </c>
      <c r="L14" s="16">
        <f t="shared" si="6"/>
        <v>2026</v>
      </c>
      <c r="M14" s="16">
        <f t="shared" si="7"/>
        <v>4</v>
      </c>
      <c r="N14" s="16">
        <f t="shared" si="8"/>
        <v>60</v>
      </c>
    </row>
    <row r="15" spans="1:15" ht="12.75" customHeight="1" x14ac:dyDescent="0.25">
      <c r="A15" s="2" t="s">
        <v>1</v>
      </c>
      <c r="B15" s="3" t="s">
        <v>61</v>
      </c>
      <c r="C15" s="3" t="s">
        <v>68</v>
      </c>
      <c r="D15" s="3" t="s">
        <v>40</v>
      </c>
      <c r="E15" s="3" t="s">
        <v>0</v>
      </c>
      <c r="F15" s="23">
        <v>45626</v>
      </c>
      <c r="G15" s="3">
        <v>6135</v>
      </c>
      <c r="H15" s="6">
        <v>10947</v>
      </c>
      <c r="I15" s="23">
        <v>45660</v>
      </c>
      <c r="J15" s="7">
        <f t="shared" si="4"/>
        <v>2024</v>
      </c>
      <c r="K15" s="7">
        <f t="shared" si="5"/>
        <v>11</v>
      </c>
      <c r="L15" s="7">
        <f t="shared" si="6"/>
        <v>2025</v>
      </c>
      <c r="M15" s="7">
        <f t="shared" si="7"/>
        <v>1</v>
      </c>
      <c r="N15" s="7">
        <f t="shared" si="8"/>
        <v>34</v>
      </c>
    </row>
    <row r="16" spans="1:15" ht="12.75" customHeight="1" x14ac:dyDescent="0.25">
      <c r="A16" s="2" t="s">
        <v>1</v>
      </c>
      <c r="B16" s="3" t="s">
        <v>61</v>
      </c>
      <c r="C16" s="3" t="s">
        <v>68</v>
      </c>
      <c r="D16" s="3" t="s">
        <v>40</v>
      </c>
      <c r="E16" s="3" t="s">
        <v>0</v>
      </c>
      <c r="F16" s="23">
        <v>45627</v>
      </c>
      <c r="G16" s="3">
        <v>6120</v>
      </c>
      <c r="H16" s="6">
        <v>10066.200000000001</v>
      </c>
      <c r="I16" s="23">
        <v>45660</v>
      </c>
      <c r="J16" s="7">
        <f t="shared" si="4"/>
        <v>2024</v>
      </c>
      <c r="K16" s="7">
        <f t="shared" si="5"/>
        <v>12</v>
      </c>
      <c r="L16" s="7">
        <f t="shared" si="6"/>
        <v>2025</v>
      </c>
      <c r="M16" s="7">
        <f t="shared" si="7"/>
        <v>1</v>
      </c>
      <c r="N16" s="7">
        <f t="shared" si="8"/>
        <v>33</v>
      </c>
    </row>
    <row r="17" spans="1:14" ht="12.75" customHeight="1" x14ac:dyDescent="0.25">
      <c r="A17" s="2" t="s">
        <v>1</v>
      </c>
      <c r="B17" s="3" t="s">
        <v>61</v>
      </c>
      <c r="C17" s="3" t="s">
        <v>68</v>
      </c>
      <c r="D17" s="3" t="s">
        <v>40</v>
      </c>
      <c r="E17" s="3" t="s">
        <v>0</v>
      </c>
      <c r="F17" s="23">
        <v>45658</v>
      </c>
      <c r="G17" s="3">
        <v>6139</v>
      </c>
      <c r="H17" s="6">
        <v>10066.200000000001</v>
      </c>
      <c r="I17" s="23">
        <v>45688</v>
      </c>
      <c r="J17" s="7">
        <f t="shared" si="4"/>
        <v>2025</v>
      </c>
      <c r="K17" s="7">
        <f t="shared" si="5"/>
        <v>1</v>
      </c>
      <c r="L17" s="7">
        <f t="shared" si="6"/>
        <v>2025</v>
      </c>
      <c r="M17" s="7">
        <f t="shared" si="7"/>
        <v>1</v>
      </c>
      <c r="N17" s="7">
        <f t="shared" si="8"/>
        <v>30</v>
      </c>
    </row>
    <row r="18" spans="1:14" ht="12.75" customHeight="1" x14ac:dyDescent="0.25">
      <c r="A18" s="2" t="s">
        <v>2</v>
      </c>
      <c r="B18" s="3" t="s">
        <v>61</v>
      </c>
      <c r="C18" s="3" t="s">
        <v>68</v>
      </c>
      <c r="D18" s="3" t="s">
        <v>40</v>
      </c>
      <c r="E18" s="3" t="s">
        <v>0</v>
      </c>
      <c r="F18" s="23">
        <v>45626</v>
      </c>
      <c r="G18" s="3">
        <v>6128</v>
      </c>
      <c r="H18" s="6">
        <v>25812.5</v>
      </c>
      <c r="I18" s="23">
        <v>45674</v>
      </c>
      <c r="J18" s="7">
        <f t="shared" si="4"/>
        <v>2024</v>
      </c>
      <c r="K18" s="7">
        <f t="shared" si="5"/>
        <v>11</v>
      </c>
      <c r="L18" s="7">
        <f t="shared" si="6"/>
        <v>2025</v>
      </c>
      <c r="M18" s="7">
        <f t="shared" si="7"/>
        <v>1</v>
      </c>
      <c r="N18" s="7">
        <f t="shared" si="8"/>
        <v>48</v>
      </c>
    </row>
    <row r="19" spans="1:14" ht="12.75" customHeight="1" x14ac:dyDescent="0.25">
      <c r="A19" s="2" t="s">
        <v>2</v>
      </c>
      <c r="B19" s="3" t="s">
        <v>61</v>
      </c>
      <c r="C19" s="3" t="s">
        <v>68</v>
      </c>
      <c r="D19" s="3" t="s">
        <v>40</v>
      </c>
      <c r="E19" s="3" t="s">
        <v>0</v>
      </c>
      <c r="F19" s="23">
        <v>45627</v>
      </c>
      <c r="G19" s="3">
        <v>6121</v>
      </c>
      <c r="H19" s="6">
        <v>8750</v>
      </c>
      <c r="I19" s="23">
        <v>45688</v>
      </c>
      <c r="J19" s="7">
        <f t="shared" si="4"/>
        <v>2024</v>
      </c>
      <c r="K19" s="7">
        <f t="shared" si="5"/>
        <v>12</v>
      </c>
      <c r="L19" s="7">
        <f t="shared" si="6"/>
        <v>2025</v>
      </c>
      <c r="M19" s="7">
        <f t="shared" si="7"/>
        <v>1</v>
      </c>
      <c r="N19" s="7">
        <f t="shared" si="8"/>
        <v>61</v>
      </c>
    </row>
    <row r="20" spans="1:14" ht="12.75" customHeight="1" x14ac:dyDescent="0.25">
      <c r="A20" s="2" t="s">
        <v>2</v>
      </c>
      <c r="B20" s="3" t="s">
        <v>61</v>
      </c>
      <c r="C20" s="3" t="s">
        <v>68</v>
      </c>
      <c r="D20" s="3" t="s">
        <v>40</v>
      </c>
      <c r="E20" s="3" t="s">
        <v>0</v>
      </c>
      <c r="F20" s="23">
        <v>45657</v>
      </c>
      <c r="G20" s="3">
        <v>6147</v>
      </c>
      <c r="H20" s="6">
        <v>3237.5</v>
      </c>
      <c r="I20" s="23">
        <v>45702</v>
      </c>
      <c r="J20" s="7">
        <f t="shared" si="4"/>
        <v>2024</v>
      </c>
      <c r="K20" s="7">
        <f t="shared" si="5"/>
        <v>12</v>
      </c>
      <c r="L20" s="7">
        <f t="shared" si="6"/>
        <v>2025</v>
      </c>
      <c r="M20" s="7">
        <f t="shared" si="7"/>
        <v>2</v>
      </c>
      <c r="N20" s="7">
        <f t="shared" si="8"/>
        <v>45</v>
      </c>
    </row>
    <row r="21" spans="1:14" ht="12.75" customHeight="1" x14ac:dyDescent="0.25">
      <c r="A21" s="2" t="s">
        <v>2</v>
      </c>
      <c r="B21" s="3" t="s">
        <v>61</v>
      </c>
      <c r="C21" s="3" t="s">
        <v>68</v>
      </c>
      <c r="D21" s="3" t="s">
        <v>40</v>
      </c>
      <c r="E21" s="3" t="s">
        <v>0</v>
      </c>
      <c r="F21" s="23">
        <v>45658</v>
      </c>
      <c r="G21" s="3">
        <v>6140</v>
      </c>
      <c r="H21" s="6">
        <v>8750</v>
      </c>
      <c r="I21" s="23">
        <v>45709</v>
      </c>
      <c r="J21" s="7">
        <f t="shared" si="4"/>
        <v>2025</v>
      </c>
      <c r="K21" s="7">
        <f t="shared" si="5"/>
        <v>1</v>
      </c>
      <c r="L21" s="7">
        <f t="shared" si="6"/>
        <v>2025</v>
      </c>
      <c r="M21" s="7">
        <f t="shared" si="7"/>
        <v>2</v>
      </c>
      <c r="N21" s="7">
        <f t="shared" si="8"/>
        <v>51</v>
      </c>
    </row>
    <row r="22" spans="1:14" ht="12.75" customHeight="1" x14ac:dyDescent="0.25">
      <c r="A22" s="2" t="s">
        <v>2</v>
      </c>
      <c r="B22" s="3" t="s">
        <v>61</v>
      </c>
      <c r="C22" s="3" t="s">
        <v>68</v>
      </c>
      <c r="D22" s="3" t="s">
        <v>40</v>
      </c>
      <c r="E22" s="3" t="s">
        <v>0</v>
      </c>
      <c r="F22" s="23">
        <v>45688</v>
      </c>
      <c r="G22" s="3">
        <v>6162</v>
      </c>
      <c r="H22" s="6">
        <v>15575</v>
      </c>
      <c r="I22" s="23">
        <v>45737</v>
      </c>
      <c r="J22" s="7">
        <f t="shared" si="4"/>
        <v>2025</v>
      </c>
      <c r="K22" s="7">
        <f t="shared" si="5"/>
        <v>1</v>
      </c>
      <c r="L22" s="7">
        <f t="shared" si="6"/>
        <v>2025</v>
      </c>
      <c r="M22" s="7">
        <f t="shared" si="7"/>
        <v>3</v>
      </c>
      <c r="N22" s="7">
        <f t="shared" si="8"/>
        <v>49</v>
      </c>
    </row>
    <row r="23" spans="1:14" ht="12.75" customHeight="1" x14ac:dyDescent="0.25">
      <c r="A23" s="2" t="s">
        <v>2</v>
      </c>
      <c r="B23" s="3" t="s">
        <v>61</v>
      </c>
      <c r="C23" s="3" t="s">
        <v>68</v>
      </c>
      <c r="D23" s="3" t="s">
        <v>40</v>
      </c>
      <c r="E23" s="3" t="s">
        <v>0</v>
      </c>
      <c r="F23" s="23">
        <v>45689</v>
      </c>
      <c r="G23" s="3">
        <v>6155</v>
      </c>
      <c r="H23" s="6">
        <v>8750</v>
      </c>
      <c r="I23" s="23">
        <v>45737</v>
      </c>
      <c r="J23" s="7">
        <f t="shared" si="4"/>
        <v>2025</v>
      </c>
      <c r="K23" s="7">
        <f t="shared" si="5"/>
        <v>2</v>
      </c>
      <c r="L23" s="7">
        <f t="shared" si="6"/>
        <v>2025</v>
      </c>
      <c r="M23" s="7">
        <f t="shared" si="7"/>
        <v>3</v>
      </c>
      <c r="N23" s="7">
        <f t="shared" si="8"/>
        <v>48</v>
      </c>
    </row>
    <row r="24" spans="1:14" ht="12.75" customHeight="1" x14ac:dyDescent="0.25">
      <c r="A24" s="2" t="s">
        <v>2</v>
      </c>
      <c r="B24" s="3" t="s">
        <v>61</v>
      </c>
      <c r="C24" s="3" t="s">
        <v>68</v>
      </c>
      <c r="D24" s="3" t="s">
        <v>40</v>
      </c>
      <c r="E24" s="3" t="s">
        <v>0</v>
      </c>
      <c r="F24" s="23">
        <v>45716</v>
      </c>
      <c r="G24" s="3">
        <v>6175</v>
      </c>
      <c r="H24" s="6">
        <v>15575</v>
      </c>
      <c r="I24" s="23">
        <v>45765</v>
      </c>
      <c r="J24" s="7">
        <f t="shared" si="4"/>
        <v>2025</v>
      </c>
      <c r="K24" s="7">
        <f t="shared" si="5"/>
        <v>2</v>
      </c>
      <c r="L24" s="7">
        <f t="shared" si="6"/>
        <v>2025</v>
      </c>
      <c r="M24" s="7">
        <f t="shared" si="7"/>
        <v>4</v>
      </c>
      <c r="N24" s="7">
        <f t="shared" si="8"/>
        <v>49</v>
      </c>
    </row>
    <row r="25" spans="1:14" ht="12.75" customHeight="1" x14ac:dyDescent="0.25">
      <c r="A25" s="2" t="s">
        <v>2</v>
      </c>
      <c r="B25" s="3" t="s">
        <v>61</v>
      </c>
      <c r="C25" s="3" t="s">
        <v>68</v>
      </c>
      <c r="D25" s="3" t="s">
        <v>40</v>
      </c>
      <c r="E25" s="3" t="s">
        <v>0</v>
      </c>
      <c r="F25" s="23">
        <v>45717</v>
      </c>
      <c r="G25" s="3">
        <v>6170</v>
      </c>
      <c r="H25" s="6">
        <v>8750</v>
      </c>
      <c r="I25" s="23">
        <v>45765</v>
      </c>
      <c r="J25" s="7">
        <f t="shared" si="4"/>
        <v>2025</v>
      </c>
      <c r="K25" s="7">
        <f t="shared" si="5"/>
        <v>3</v>
      </c>
      <c r="L25" s="7">
        <f t="shared" si="6"/>
        <v>2025</v>
      </c>
      <c r="M25" s="7">
        <f t="shared" si="7"/>
        <v>4</v>
      </c>
      <c r="N25" s="7">
        <f t="shared" si="8"/>
        <v>48</v>
      </c>
    </row>
    <row r="26" spans="1:14" ht="12.75" customHeight="1" x14ac:dyDescent="0.25">
      <c r="A26" s="2" t="s">
        <v>2</v>
      </c>
      <c r="B26" s="3" t="s">
        <v>61</v>
      </c>
      <c r="C26" s="3" t="s">
        <v>68</v>
      </c>
      <c r="D26" s="3" t="s">
        <v>40</v>
      </c>
      <c r="E26" s="3" t="s">
        <v>0</v>
      </c>
      <c r="F26" s="23">
        <v>45748</v>
      </c>
      <c r="G26" s="3">
        <v>6187</v>
      </c>
      <c r="H26" s="6">
        <v>8750</v>
      </c>
      <c r="I26" s="23">
        <v>45793</v>
      </c>
      <c r="J26" s="7">
        <f t="shared" si="4"/>
        <v>2025</v>
      </c>
      <c r="K26" s="7">
        <f t="shared" si="5"/>
        <v>4</v>
      </c>
      <c r="L26" s="7">
        <f t="shared" si="6"/>
        <v>2025</v>
      </c>
      <c r="M26" s="7">
        <f t="shared" si="7"/>
        <v>5</v>
      </c>
      <c r="N26" s="7">
        <f t="shared" si="8"/>
        <v>45</v>
      </c>
    </row>
    <row r="27" spans="1:14" ht="12.75" customHeight="1" x14ac:dyDescent="0.25">
      <c r="A27" s="2" t="s">
        <v>2</v>
      </c>
      <c r="B27" s="3" t="s">
        <v>61</v>
      </c>
      <c r="C27" s="3" t="s">
        <v>68</v>
      </c>
      <c r="D27" s="3" t="s">
        <v>40</v>
      </c>
      <c r="E27" s="3" t="s">
        <v>0</v>
      </c>
      <c r="F27" s="23">
        <v>45777</v>
      </c>
      <c r="G27" s="3">
        <v>6205</v>
      </c>
      <c r="H27" s="6">
        <v>3456.25</v>
      </c>
      <c r="I27" s="23">
        <v>45821</v>
      </c>
      <c r="J27" s="7">
        <f t="shared" si="4"/>
        <v>2025</v>
      </c>
      <c r="K27" s="7">
        <f t="shared" si="5"/>
        <v>4</v>
      </c>
      <c r="L27" s="7">
        <f t="shared" si="6"/>
        <v>2025</v>
      </c>
      <c r="M27" s="7">
        <f t="shared" si="7"/>
        <v>6</v>
      </c>
      <c r="N27" s="7">
        <f t="shared" si="8"/>
        <v>44</v>
      </c>
    </row>
    <row r="28" spans="1:14" ht="12.75" customHeight="1" x14ac:dyDescent="0.25">
      <c r="A28" s="2" t="s">
        <v>2</v>
      </c>
      <c r="B28" s="3" t="s">
        <v>61</v>
      </c>
      <c r="C28" s="3" t="s">
        <v>68</v>
      </c>
      <c r="D28" s="3" t="s">
        <v>40</v>
      </c>
      <c r="E28" s="3" t="s">
        <v>0</v>
      </c>
      <c r="F28" s="23">
        <v>45778</v>
      </c>
      <c r="G28" s="3">
        <v>6199</v>
      </c>
      <c r="H28" s="6">
        <v>8750</v>
      </c>
      <c r="I28" s="23">
        <v>45821</v>
      </c>
      <c r="J28" s="7">
        <f t="shared" si="4"/>
        <v>2025</v>
      </c>
      <c r="K28" s="7">
        <f t="shared" si="5"/>
        <v>5</v>
      </c>
      <c r="L28" s="7">
        <f t="shared" si="6"/>
        <v>2025</v>
      </c>
      <c r="M28" s="7">
        <f t="shared" si="7"/>
        <v>6</v>
      </c>
      <c r="N28" s="7">
        <f t="shared" si="8"/>
        <v>43</v>
      </c>
    </row>
    <row r="29" spans="1:14" ht="12.75" customHeight="1" x14ac:dyDescent="0.25">
      <c r="A29" s="2" t="s">
        <v>2</v>
      </c>
      <c r="B29" s="3" t="s">
        <v>61</v>
      </c>
      <c r="C29" s="3" t="s">
        <v>68</v>
      </c>
      <c r="D29" s="3" t="s">
        <v>40</v>
      </c>
      <c r="E29" s="3" t="s">
        <v>0</v>
      </c>
      <c r="F29" s="23">
        <v>45809</v>
      </c>
      <c r="G29" s="3">
        <v>6214</v>
      </c>
      <c r="H29" s="6">
        <v>8750</v>
      </c>
      <c r="I29" s="23">
        <v>45859</v>
      </c>
      <c r="J29" s="7">
        <f t="shared" si="4"/>
        <v>2025</v>
      </c>
      <c r="K29" s="7">
        <f t="shared" si="5"/>
        <v>6</v>
      </c>
      <c r="L29" s="7">
        <f t="shared" si="6"/>
        <v>2025</v>
      </c>
      <c r="M29" s="7">
        <f t="shared" si="7"/>
        <v>7</v>
      </c>
      <c r="N29" s="7">
        <f t="shared" si="8"/>
        <v>50</v>
      </c>
    </row>
    <row r="30" spans="1:14" ht="12.75" customHeight="1" x14ac:dyDescent="0.25">
      <c r="A30" s="2" t="s">
        <v>88</v>
      </c>
      <c r="B30" s="3" t="s">
        <v>61</v>
      </c>
      <c r="C30" s="3" t="s">
        <v>68</v>
      </c>
      <c r="D30" s="3" t="s">
        <v>40</v>
      </c>
      <c r="E30" s="3" t="s">
        <v>0</v>
      </c>
      <c r="F30" s="23">
        <v>45839</v>
      </c>
      <c r="G30" s="3">
        <v>6243</v>
      </c>
      <c r="H30" s="6">
        <v>1930</v>
      </c>
      <c r="I30" s="23">
        <v>45897</v>
      </c>
      <c r="J30" s="7">
        <f t="shared" si="4"/>
        <v>2025</v>
      </c>
      <c r="K30" s="7">
        <f t="shared" si="5"/>
        <v>7</v>
      </c>
      <c r="L30" s="7">
        <f t="shared" si="6"/>
        <v>2025</v>
      </c>
      <c r="M30" s="7">
        <f t="shared" si="7"/>
        <v>8</v>
      </c>
      <c r="N30" s="7">
        <f t="shared" si="8"/>
        <v>58</v>
      </c>
    </row>
    <row r="31" spans="1:14" ht="12.75" customHeight="1" x14ac:dyDescent="0.25">
      <c r="A31" s="2" t="s">
        <v>88</v>
      </c>
      <c r="B31" s="3" t="s">
        <v>61</v>
      </c>
      <c r="C31" s="3" t="s">
        <v>68</v>
      </c>
      <c r="D31" s="3" t="s">
        <v>40</v>
      </c>
      <c r="E31" s="3" t="s">
        <v>0</v>
      </c>
      <c r="F31" s="23">
        <v>45870</v>
      </c>
      <c r="G31" s="3">
        <v>6245</v>
      </c>
      <c r="H31" s="6">
        <v>1930</v>
      </c>
      <c r="I31" s="23">
        <v>45919</v>
      </c>
      <c r="J31" s="7">
        <f t="shared" si="4"/>
        <v>2025</v>
      </c>
      <c r="K31" s="7">
        <f t="shared" si="5"/>
        <v>8</v>
      </c>
      <c r="L31" s="7">
        <f t="shared" si="6"/>
        <v>2025</v>
      </c>
      <c r="M31" s="7">
        <f t="shared" si="7"/>
        <v>9</v>
      </c>
      <c r="N31" s="7">
        <f t="shared" si="8"/>
        <v>49</v>
      </c>
    </row>
    <row r="32" spans="1:14" ht="12.75" customHeight="1" x14ac:dyDescent="0.25">
      <c r="A32" s="2" t="s">
        <v>88</v>
      </c>
      <c r="B32" s="3" t="s">
        <v>61</v>
      </c>
      <c r="C32" s="3" t="s">
        <v>68</v>
      </c>
      <c r="D32" s="3" t="s">
        <v>40</v>
      </c>
      <c r="E32" s="3" t="s">
        <v>0</v>
      </c>
      <c r="F32" s="23">
        <v>45901</v>
      </c>
      <c r="G32" s="3">
        <v>6262</v>
      </c>
      <c r="H32" s="6">
        <v>1930</v>
      </c>
      <c r="I32" s="23">
        <v>45946</v>
      </c>
      <c r="J32" s="7">
        <f t="shared" si="4"/>
        <v>2025</v>
      </c>
      <c r="K32" s="7">
        <f t="shared" si="5"/>
        <v>9</v>
      </c>
      <c r="L32" s="7">
        <f t="shared" si="6"/>
        <v>2025</v>
      </c>
      <c r="M32" s="7">
        <f t="shared" si="7"/>
        <v>10</v>
      </c>
      <c r="N32" s="7">
        <f t="shared" si="8"/>
        <v>45</v>
      </c>
    </row>
    <row r="33" spans="1:14" ht="12.75" customHeight="1" x14ac:dyDescent="0.25">
      <c r="A33" s="2" t="s">
        <v>88</v>
      </c>
      <c r="B33" s="3" t="s">
        <v>61</v>
      </c>
      <c r="C33" s="3" t="s">
        <v>68</v>
      </c>
      <c r="D33" s="3" t="s">
        <v>40</v>
      </c>
      <c r="E33" s="3" t="s">
        <v>0</v>
      </c>
      <c r="F33" s="23">
        <v>45931</v>
      </c>
      <c r="G33" s="3">
        <v>6275</v>
      </c>
      <c r="H33" s="6">
        <v>1930</v>
      </c>
      <c r="I33" s="23">
        <v>45974</v>
      </c>
      <c r="J33" s="7">
        <f t="shared" si="4"/>
        <v>2025</v>
      </c>
      <c r="K33" s="7">
        <f t="shared" si="5"/>
        <v>10</v>
      </c>
      <c r="L33" s="7">
        <f t="shared" si="6"/>
        <v>2025</v>
      </c>
      <c r="M33" s="7">
        <f t="shared" si="7"/>
        <v>11</v>
      </c>
      <c r="N33" s="7">
        <f t="shared" si="8"/>
        <v>43</v>
      </c>
    </row>
    <row r="34" spans="1:14" ht="12.75" customHeight="1" x14ac:dyDescent="0.25">
      <c r="A34" s="2" t="s">
        <v>88</v>
      </c>
      <c r="B34" s="3" t="s">
        <v>61</v>
      </c>
      <c r="C34" s="3" t="s">
        <v>68</v>
      </c>
      <c r="D34" s="3" t="s">
        <v>40</v>
      </c>
      <c r="E34" s="3" t="s">
        <v>0</v>
      </c>
      <c r="F34" s="23">
        <v>45962</v>
      </c>
      <c r="G34" s="3">
        <v>6293</v>
      </c>
      <c r="H34" s="6">
        <v>1930</v>
      </c>
      <c r="I34" s="23">
        <v>46010</v>
      </c>
      <c r="J34" s="7">
        <f t="shared" si="4"/>
        <v>2025</v>
      </c>
      <c r="K34" s="7">
        <f t="shared" si="5"/>
        <v>11</v>
      </c>
      <c r="L34" s="7">
        <f t="shared" si="6"/>
        <v>2025</v>
      </c>
      <c r="M34" s="7">
        <f t="shared" si="7"/>
        <v>12</v>
      </c>
      <c r="N34" s="7">
        <f t="shared" si="8"/>
        <v>48</v>
      </c>
    </row>
    <row r="35" spans="1:14" ht="12.75" customHeight="1" x14ac:dyDescent="0.25">
      <c r="A35" s="2" t="s">
        <v>88</v>
      </c>
      <c r="B35" s="3" t="s">
        <v>61</v>
      </c>
      <c r="C35" s="3" t="s">
        <v>68</v>
      </c>
      <c r="D35" s="3" t="s">
        <v>40</v>
      </c>
      <c r="E35" s="3" t="s">
        <v>0</v>
      </c>
      <c r="F35" s="23">
        <v>45992</v>
      </c>
      <c r="G35" s="3">
        <v>6311</v>
      </c>
      <c r="H35" s="6">
        <v>1930</v>
      </c>
      <c r="I35" s="26">
        <f t="shared" ref="I35:I47" si="9">+F35+45</f>
        <v>46037</v>
      </c>
      <c r="J35" s="7">
        <f t="shared" si="4"/>
        <v>2025</v>
      </c>
      <c r="K35" s="7">
        <f t="shared" si="5"/>
        <v>12</v>
      </c>
      <c r="L35" s="7">
        <f t="shared" si="6"/>
        <v>2026</v>
      </c>
      <c r="M35" s="7">
        <f t="shared" si="7"/>
        <v>1</v>
      </c>
      <c r="N35" s="7">
        <f t="shared" si="8"/>
        <v>45</v>
      </c>
    </row>
    <row r="36" spans="1:14" ht="12.75" customHeight="1" x14ac:dyDescent="0.25">
      <c r="A36" s="2" t="s">
        <v>131</v>
      </c>
      <c r="B36" s="3" t="s">
        <v>61</v>
      </c>
      <c r="C36" s="3" t="s">
        <v>68</v>
      </c>
      <c r="D36" s="3" t="s">
        <v>40</v>
      </c>
      <c r="E36" s="3" t="s">
        <v>0</v>
      </c>
      <c r="F36" s="23">
        <v>46023</v>
      </c>
      <c r="G36" s="3">
        <v>6331</v>
      </c>
      <c r="H36" s="6">
        <v>1930</v>
      </c>
      <c r="I36" s="26">
        <f t="shared" si="9"/>
        <v>46068</v>
      </c>
      <c r="J36" s="7">
        <f t="shared" si="4"/>
        <v>2026</v>
      </c>
      <c r="K36" s="7">
        <f t="shared" si="5"/>
        <v>1</v>
      </c>
      <c r="L36" s="7">
        <f t="shared" si="6"/>
        <v>2026</v>
      </c>
      <c r="M36" s="7">
        <f t="shared" si="7"/>
        <v>2</v>
      </c>
      <c r="N36" s="7">
        <f t="shared" si="8"/>
        <v>45</v>
      </c>
    </row>
    <row r="37" spans="1:14" ht="12.75" customHeight="1" x14ac:dyDescent="0.25">
      <c r="A37" s="13" t="s">
        <v>131</v>
      </c>
      <c r="B37" s="14" t="s">
        <v>61</v>
      </c>
      <c r="C37" s="14" t="s">
        <v>68</v>
      </c>
      <c r="D37" s="14" t="s">
        <v>41</v>
      </c>
      <c r="E37" s="14" t="s">
        <v>0</v>
      </c>
      <c r="F37" s="24">
        <v>46054</v>
      </c>
      <c r="G37" s="14" t="s">
        <v>32</v>
      </c>
      <c r="H37" s="15">
        <v>1930</v>
      </c>
      <c r="I37" s="26">
        <f t="shared" si="9"/>
        <v>46099</v>
      </c>
      <c r="J37" s="16">
        <f t="shared" si="4"/>
        <v>2026</v>
      </c>
      <c r="K37" s="16">
        <f t="shared" si="5"/>
        <v>2</v>
      </c>
      <c r="L37" s="16">
        <f t="shared" si="6"/>
        <v>2026</v>
      </c>
      <c r="M37" s="16">
        <f t="shared" si="7"/>
        <v>3</v>
      </c>
      <c r="N37" s="16">
        <f t="shared" si="8"/>
        <v>45</v>
      </c>
    </row>
    <row r="38" spans="1:14" ht="12.75" customHeight="1" x14ac:dyDescent="0.25">
      <c r="A38" s="13" t="s">
        <v>131</v>
      </c>
      <c r="B38" s="14" t="s">
        <v>61</v>
      </c>
      <c r="C38" s="14" t="s">
        <v>68</v>
      </c>
      <c r="D38" s="14" t="s">
        <v>41</v>
      </c>
      <c r="E38" s="14" t="s">
        <v>0</v>
      </c>
      <c r="F38" s="24">
        <v>46082</v>
      </c>
      <c r="G38" s="14" t="s">
        <v>32</v>
      </c>
      <c r="H38" s="15">
        <v>1930</v>
      </c>
      <c r="I38" s="26">
        <f t="shared" si="9"/>
        <v>46127</v>
      </c>
      <c r="J38" s="16">
        <f t="shared" si="4"/>
        <v>2026</v>
      </c>
      <c r="K38" s="16">
        <f t="shared" si="5"/>
        <v>3</v>
      </c>
      <c r="L38" s="16">
        <f t="shared" si="6"/>
        <v>2026</v>
      </c>
      <c r="M38" s="16">
        <f t="shared" si="7"/>
        <v>4</v>
      </c>
      <c r="N38" s="16">
        <f t="shared" si="8"/>
        <v>45</v>
      </c>
    </row>
    <row r="39" spans="1:14" ht="12.75" customHeight="1" x14ac:dyDescent="0.25">
      <c r="A39" s="13" t="s">
        <v>131</v>
      </c>
      <c r="B39" s="14" t="s">
        <v>61</v>
      </c>
      <c r="C39" s="14" t="s">
        <v>68</v>
      </c>
      <c r="D39" s="14" t="s">
        <v>41</v>
      </c>
      <c r="E39" s="14" t="s">
        <v>0</v>
      </c>
      <c r="F39" s="24">
        <v>46113</v>
      </c>
      <c r="G39" s="14" t="s">
        <v>32</v>
      </c>
      <c r="H39" s="15">
        <v>1930</v>
      </c>
      <c r="I39" s="26">
        <f t="shared" si="9"/>
        <v>46158</v>
      </c>
      <c r="J39" s="16">
        <f t="shared" si="4"/>
        <v>2026</v>
      </c>
      <c r="K39" s="16">
        <f t="shared" si="5"/>
        <v>4</v>
      </c>
      <c r="L39" s="16">
        <f t="shared" si="6"/>
        <v>2026</v>
      </c>
      <c r="M39" s="16">
        <f t="shared" si="7"/>
        <v>5</v>
      </c>
      <c r="N39" s="16">
        <f t="shared" si="8"/>
        <v>45</v>
      </c>
    </row>
    <row r="40" spans="1:14" ht="12.75" customHeight="1" x14ac:dyDescent="0.25">
      <c r="A40" s="13" t="s">
        <v>131</v>
      </c>
      <c r="B40" s="14" t="s">
        <v>61</v>
      </c>
      <c r="C40" s="14" t="s">
        <v>68</v>
      </c>
      <c r="D40" s="14" t="s">
        <v>41</v>
      </c>
      <c r="E40" s="14" t="s">
        <v>0</v>
      </c>
      <c r="F40" s="24">
        <v>46143</v>
      </c>
      <c r="G40" s="14" t="s">
        <v>32</v>
      </c>
      <c r="H40" s="15">
        <v>1930</v>
      </c>
      <c r="I40" s="26">
        <f t="shared" si="9"/>
        <v>46188</v>
      </c>
      <c r="J40" s="16">
        <f t="shared" si="4"/>
        <v>2026</v>
      </c>
      <c r="K40" s="16">
        <f t="shared" si="5"/>
        <v>5</v>
      </c>
      <c r="L40" s="16">
        <f t="shared" si="6"/>
        <v>2026</v>
      </c>
      <c r="M40" s="16">
        <f t="shared" si="7"/>
        <v>6</v>
      </c>
      <c r="N40" s="16">
        <f t="shared" si="8"/>
        <v>45</v>
      </c>
    </row>
    <row r="41" spans="1:14" ht="12.75" customHeight="1" x14ac:dyDescent="0.25">
      <c r="A41" s="13" t="s">
        <v>131</v>
      </c>
      <c r="B41" s="14" t="s">
        <v>61</v>
      </c>
      <c r="C41" s="14" t="s">
        <v>68</v>
      </c>
      <c r="D41" s="14" t="s">
        <v>41</v>
      </c>
      <c r="E41" s="14" t="s">
        <v>0</v>
      </c>
      <c r="F41" s="24">
        <v>46174</v>
      </c>
      <c r="G41" s="14" t="s">
        <v>32</v>
      </c>
      <c r="H41" s="15">
        <v>1930</v>
      </c>
      <c r="I41" s="26">
        <f t="shared" si="9"/>
        <v>46219</v>
      </c>
      <c r="J41" s="16">
        <f t="shared" si="4"/>
        <v>2026</v>
      </c>
      <c r="K41" s="16">
        <f t="shared" si="5"/>
        <v>6</v>
      </c>
      <c r="L41" s="16">
        <f t="shared" si="6"/>
        <v>2026</v>
      </c>
      <c r="M41" s="16">
        <f t="shared" si="7"/>
        <v>7</v>
      </c>
      <c r="N41" s="16">
        <f t="shared" si="8"/>
        <v>45</v>
      </c>
    </row>
    <row r="42" spans="1:14" ht="12.75" customHeight="1" x14ac:dyDescent="0.25">
      <c r="A42" s="13" t="s">
        <v>131</v>
      </c>
      <c r="B42" s="14" t="s">
        <v>61</v>
      </c>
      <c r="C42" s="14" t="s">
        <v>68</v>
      </c>
      <c r="D42" s="14" t="s">
        <v>41</v>
      </c>
      <c r="E42" s="14" t="s">
        <v>0</v>
      </c>
      <c r="F42" s="24">
        <v>46204</v>
      </c>
      <c r="G42" s="14" t="s">
        <v>32</v>
      </c>
      <c r="H42" s="15">
        <v>1930</v>
      </c>
      <c r="I42" s="26">
        <f t="shared" si="9"/>
        <v>46249</v>
      </c>
      <c r="J42" s="16">
        <f t="shared" si="4"/>
        <v>2026</v>
      </c>
      <c r="K42" s="16">
        <f t="shared" si="5"/>
        <v>7</v>
      </c>
      <c r="L42" s="16">
        <f t="shared" si="6"/>
        <v>2026</v>
      </c>
      <c r="M42" s="16">
        <f t="shared" si="7"/>
        <v>8</v>
      </c>
      <c r="N42" s="16">
        <f t="shared" si="8"/>
        <v>45</v>
      </c>
    </row>
    <row r="43" spans="1:14" ht="12.75" customHeight="1" x14ac:dyDescent="0.25">
      <c r="A43" s="13" t="s">
        <v>131</v>
      </c>
      <c r="B43" s="14" t="s">
        <v>61</v>
      </c>
      <c r="C43" s="14" t="s">
        <v>68</v>
      </c>
      <c r="D43" s="14" t="s">
        <v>41</v>
      </c>
      <c r="E43" s="14" t="s">
        <v>0</v>
      </c>
      <c r="F43" s="24">
        <v>46235</v>
      </c>
      <c r="G43" s="14" t="s">
        <v>32</v>
      </c>
      <c r="H43" s="15">
        <v>1930</v>
      </c>
      <c r="I43" s="26">
        <f t="shared" si="9"/>
        <v>46280</v>
      </c>
      <c r="J43" s="16">
        <f t="shared" si="4"/>
        <v>2026</v>
      </c>
      <c r="K43" s="16">
        <f t="shared" si="5"/>
        <v>8</v>
      </c>
      <c r="L43" s="16">
        <f t="shared" si="6"/>
        <v>2026</v>
      </c>
      <c r="M43" s="16">
        <f t="shared" si="7"/>
        <v>9</v>
      </c>
      <c r="N43" s="16">
        <f t="shared" si="8"/>
        <v>45</v>
      </c>
    </row>
    <row r="44" spans="1:14" ht="12.75" customHeight="1" x14ac:dyDescent="0.25">
      <c r="A44" s="13" t="s">
        <v>131</v>
      </c>
      <c r="B44" s="14" t="s">
        <v>61</v>
      </c>
      <c r="C44" s="14" t="s">
        <v>68</v>
      </c>
      <c r="D44" s="14" t="s">
        <v>41</v>
      </c>
      <c r="E44" s="14" t="s">
        <v>0</v>
      </c>
      <c r="F44" s="24">
        <v>46266</v>
      </c>
      <c r="G44" s="14" t="s">
        <v>32</v>
      </c>
      <c r="H44" s="15">
        <v>1930</v>
      </c>
      <c r="I44" s="26">
        <f t="shared" si="9"/>
        <v>46311</v>
      </c>
      <c r="J44" s="16">
        <f t="shared" si="4"/>
        <v>2026</v>
      </c>
      <c r="K44" s="16">
        <f t="shared" si="5"/>
        <v>9</v>
      </c>
      <c r="L44" s="16">
        <f t="shared" si="6"/>
        <v>2026</v>
      </c>
      <c r="M44" s="16">
        <f t="shared" si="7"/>
        <v>10</v>
      </c>
      <c r="N44" s="16">
        <f t="shared" si="8"/>
        <v>45</v>
      </c>
    </row>
    <row r="45" spans="1:14" ht="12.75" customHeight="1" x14ac:dyDescent="0.25">
      <c r="A45" s="13" t="s">
        <v>131</v>
      </c>
      <c r="B45" s="14" t="s">
        <v>61</v>
      </c>
      <c r="C45" s="14" t="s">
        <v>68</v>
      </c>
      <c r="D45" s="14" t="s">
        <v>41</v>
      </c>
      <c r="E45" s="14" t="s">
        <v>0</v>
      </c>
      <c r="F45" s="24">
        <v>46296</v>
      </c>
      <c r="G45" s="14" t="s">
        <v>32</v>
      </c>
      <c r="H45" s="15">
        <v>1930</v>
      </c>
      <c r="I45" s="26">
        <f t="shared" si="9"/>
        <v>46341</v>
      </c>
      <c r="J45" s="16">
        <f t="shared" si="4"/>
        <v>2026</v>
      </c>
      <c r="K45" s="16">
        <f t="shared" si="5"/>
        <v>10</v>
      </c>
      <c r="L45" s="16">
        <f t="shared" si="6"/>
        <v>2026</v>
      </c>
      <c r="M45" s="16">
        <f t="shared" si="7"/>
        <v>11</v>
      </c>
      <c r="N45" s="16">
        <f t="shared" si="8"/>
        <v>45</v>
      </c>
    </row>
    <row r="46" spans="1:14" ht="12.75" customHeight="1" x14ac:dyDescent="0.25">
      <c r="A46" s="13" t="s">
        <v>131</v>
      </c>
      <c r="B46" s="14" t="s">
        <v>61</v>
      </c>
      <c r="C46" s="14" t="s">
        <v>68</v>
      </c>
      <c r="D46" s="14" t="s">
        <v>41</v>
      </c>
      <c r="E46" s="14" t="s">
        <v>0</v>
      </c>
      <c r="F46" s="24">
        <v>46327</v>
      </c>
      <c r="G46" s="14" t="s">
        <v>32</v>
      </c>
      <c r="H46" s="15">
        <v>1930</v>
      </c>
      <c r="I46" s="26">
        <f t="shared" si="9"/>
        <v>46372</v>
      </c>
      <c r="J46" s="16">
        <f t="shared" si="4"/>
        <v>2026</v>
      </c>
      <c r="K46" s="16">
        <f t="shared" si="5"/>
        <v>11</v>
      </c>
      <c r="L46" s="16">
        <f t="shared" si="6"/>
        <v>2026</v>
      </c>
      <c r="M46" s="16">
        <f t="shared" si="7"/>
        <v>12</v>
      </c>
      <c r="N46" s="16">
        <f t="shared" si="8"/>
        <v>45</v>
      </c>
    </row>
    <row r="47" spans="1:14" ht="12.75" customHeight="1" x14ac:dyDescent="0.25">
      <c r="A47" s="13" t="s">
        <v>131</v>
      </c>
      <c r="B47" s="14" t="s">
        <v>61</v>
      </c>
      <c r="C47" s="14" t="s">
        <v>68</v>
      </c>
      <c r="D47" s="14" t="s">
        <v>41</v>
      </c>
      <c r="E47" s="14" t="s">
        <v>0</v>
      </c>
      <c r="F47" s="24">
        <v>46357</v>
      </c>
      <c r="G47" s="14" t="s">
        <v>32</v>
      </c>
      <c r="H47" s="15">
        <v>1930</v>
      </c>
      <c r="I47" s="26">
        <f t="shared" si="9"/>
        <v>46402</v>
      </c>
      <c r="J47" s="16">
        <f t="shared" si="4"/>
        <v>2026</v>
      </c>
      <c r="K47" s="16">
        <f t="shared" si="5"/>
        <v>12</v>
      </c>
      <c r="L47" s="16">
        <f t="shared" si="6"/>
        <v>2027</v>
      </c>
      <c r="M47" s="16">
        <f t="shared" si="7"/>
        <v>1</v>
      </c>
      <c r="N47" s="16">
        <f t="shared" si="8"/>
        <v>45</v>
      </c>
    </row>
    <row r="48" spans="1:14" ht="12.75" customHeight="1" x14ac:dyDescent="0.25">
      <c r="A48" s="1" t="s">
        <v>11</v>
      </c>
      <c r="B48" s="34" t="s">
        <v>61</v>
      </c>
      <c r="C48" s="34" t="s">
        <v>66</v>
      </c>
      <c r="D48" s="3" t="s">
        <v>40</v>
      </c>
      <c r="E48" s="3" t="s">
        <v>0</v>
      </c>
      <c r="F48" s="23">
        <v>45626</v>
      </c>
      <c r="G48" s="3" t="s">
        <v>18</v>
      </c>
      <c r="H48" s="6">
        <v>4650</v>
      </c>
      <c r="I48" s="23">
        <v>45670</v>
      </c>
      <c r="J48" s="7">
        <f t="shared" si="4"/>
        <v>2024</v>
      </c>
      <c r="K48" s="7">
        <f t="shared" si="5"/>
        <v>11</v>
      </c>
      <c r="L48" s="7">
        <f t="shared" si="6"/>
        <v>2025</v>
      </c>
      <c r="M48" s="7">
        <f t="shared" si="7"/>
        <v>1</v>
      </c>
      <c r="N48" s="7">
        <f t="shared" si="8"/>
        <v>44</v>
      </c>
    </row>
    <row r="49" spans="1:14" ht="12.75" customHeight="1" x14ac:dyDescent="0.25">
      <c r="A49" s="1" t="s">
        <v>11</v>
      </c>
      <c r="B49" s="34" t="s">
        <v>61</v>
      </c>
      <c r="C49" s="34" t="s">
        <v>66</v>
      </c>
      <c r="D49" s="3" t="s">
        <v>40</v>
      </c>
      <c r="E49" s="3" t="s">
        <v>0</v>
      </c>
      <c r="F49" s="23">
        <v>45657</v>
      </c>
      <c r="G49" s="3">
        <v>6151</v>
      </c>
      <c r="H49" s="6">
        <v>6935</v>
      </c>
      <c r="I49" s="23">
        <v>45692</v>
      </c>
      <c r="J49" s="7">
        <f t="shared" si="4"/>
        <v>2024</v>
      </c>
      <c r="K49" s="7">
        <f t="shared" si="5"/>
        <v>12</v>
      </c>
      <c r="L49" s="7">
        <f t="shared" si="6"/>
        <v>2025</v>
      </c>
      <c r="M49" s="7">
        <f t="shared" si="7"/>
        <v>2</v>
      </c>
      <c r="N49" s="7">
        <f t="shared" si="8"/>
        <v>35</v>
      </c>
    </row>
    <row r="50" spans="1:14" ht="12.75" customHeight="1" x14ac:dyDescent="0.25">
      <c r="A50" s="1" t="s">
        <v>11</v>
      </c>
      <c r="B50" s="34" t="s">
        <v>61</v>
      </c>
      <c r="C50" s="34" t="s">
        <v>66</v>
      </c>
      <c r="D50" s="3" t="s">
        <v>40</v>
      </c>
      <c r="E50" s="3" t="s">
        <v>0</v>
      </c>
      <c r="F50" s="23">
        <v>45688</v>
      </c>
      <c r="G50" s="3">
        <v>6165</v>
      </c>
      <c r="H50" s="6">
        <v>3615</v>
      </c>
      <c r="I50" s="23">
        <v>45715</v>
      </c>
      <c r="J50" s="7">
        <f t="shared" si="4"/>
        <v>2025</v>
      </c>
      <c r="K50" s="7">
        <f t="shared" si="5"/>
        <v>1</v>
      </c>
      <c r="L50" s="7">
        <f t="shared" si="6"/>
        <v>2025</v>
      </c>
      <c r="M50" s="7">
        <f t="shared" si="7"/>
        <v>2</v>
      </c>
      <c r="N50" s="7">
        <f t="shared" si="8"/>
        <v>27</v>
      </c>
    </row>
    <row r="51" spans="1:14" ht="12.75" customHeight="1" x14ac:dyDescent="0.25">
      <c r="A51" s="1" t="s">
        <v>11</v>
      </c>
      <c r="B51" s="34" t="s">
        <v>61</v>
      </c>
      <c r="C51" s="34" t="s">
        <v>66</v>
      </c>
      <c r="D51" s="3" t="s">
        <v>40</v>
      </c>
      <c r="E51" s="3" t="s">
        <v>0</v>
      </c>
      <c r="F51" s="23">
        <v>45716</v>
      </c>
      <c r="G51" s="3">
        <v>6179</v>
      </c>
      <c r="H51" s="6">
        <v>495</v>
      </c>
      <c r="I51" s="23">
        <v>45755</v>
      </c>
      <c r="J51" s="7">
        <f t="shared" si="4"/>
        <v>2025</v>
      </c>
      <c r="K51" s="7">
        <f t="shared" si="5"/>
        <v>2</v>
      </c>
      <c r="L51" s="7">
        <f t="shared" si="6"/>
        <v>2025</v>
      </c>
      <c r="M51" s="7">
        <f t="shared" si="7"/>
        <v>4</v>
      </c>
      <c r="N51" s="7">
        <f t="shared" si="8"/>
        <v>39</v>
      </c>
    </row>
    <row r="52" spans="1:14" ht="12.75" customHeight="1" x14ac:dyDescent="0.25">
      <c r="A52" s="2" t="s">
        <v>45</v>
      </c>
      <c r="B52" s="3" t="s">
        <v>64</v>
      </c>
      <c r="C52" s="3" t="s">
        <v>66</v>
      </c>
      <c r="D52" s="3" t="s">
        <v>40</v>
      </c>
      <c r="E52" s="3" t="s">
        <v>0</v>
      </c>
      <c r="F52" s="23">
        <v>45740</v>
      </c>
      <c r="G52" s="3">
        <v>6185</v>
      </c>
      <c r="H52" s="6">
        <v>25000</v>
      </c>
      <c r="I52" s="23">
        <v>45775</v>
      </c>
      <c r="J52" s="7">
        <f t="shared" si="4"/>
        <v>2025</v>
      </c>
      <c r="K52" s="7">
        <f t="shared" si="5"/>
        <v>3</v>
      </c>
      <c r="L52" s="7">
        <f t="shared" si="6"/>
        <v>2025</v>
      </c>
      <c r="M52" s="7">
        <f t="shared" si="7"/>
        <v>4</v>
      </c>
      <c r="N52" s="7">
        <f t="shared" si="8"/>
        <v>35</v>
      </c>
    </row>
    <row r="53" spans="1:14" ht="12.75" customHeight="1" x14ac:dyDescent="0.25">
      <c r="A53" s="2" t="s">
        <v>45</v>
      </c>
      <c r="B53" s="3" t="s">
        <v>64</v>
      </c>
      <c r="C53" s="3" t="s">
        <v>66</v>
      </c>
      <c r="D53" s="3" t="s">
        <v>40</v>
      </c>
      <c r="E53" s="3" t="s">
        <v>0</v>
      </c>
      <c r="F53" s="23">
        <v>45771</v>
      </c>
      <c r="G53" s="3">
        <v>6198</v>
      </c>
      <c r="H53" s="6">
        <v>25000</v>
      </c>
      <c r="I53" s="23">
        <v>45853</v>
      </c>
      <c r="J53" s="7">
        <f t="shared" si="4"/>
        <v>2025</v>
      </c>
      <c r="K53" s="7">
        <f t="shared" si="5"/>
        <v>4</v>
      </c>
      <c r="L53" s="7">
        <f t="shared" si="6"/>
        <v>2025</v>
      </c>
      <c r="M53" s="7">
        <f t="shared" si="7"/>
        <v>7</v>
      </c>
      <c r="N53" s="7">
        <f t="shared" si="8"/>
        <v>82</v>
      </c>
    </row>
    <row r="54" spans="1:14" ht="12.75" customHeight="1" x14ac:dyDescent="0.25">
      <c r="A54" s="2" t="s">
        <v>45</v>
      </c>
      <c r="B54" s="3" t="s">
        <v>64</v>
      </c>
      <c r="C54" s="3" t="s">
        <v>66</v>
      </c>
      <c r="D54" s="3" t="s">
        <v>40</v>
      </c>
      <c r="E54" s="3" t="s">
        <v>0</v>
      </c>
      <c r="F54" s="23">
        <v>45801</v>
      </c>
      <c r="G54" s="3">
        <v>6213</v>
      </c>
      <c r="H54" s="6">
        <v>20000</v>
      </c>
      <c r="I54" s="23">
        <v>45853</v>
      </c>
      <c r="J54" s="7">
        <f t="shared" si="4"/>
        <v>2025</v>
      </c>
      <c r="K54" s="7">
        <f t="shared" si="5"/>
        <v>5</v>
      </c>
      <c r="L54" s="7">
        <f t="shared" si="6"/>
        <v>2025</v>
      </c>
      <c r="M54" s="7">
        <f t="shared" si="7"/>
        <v>7</v>
      </c>
      <c r="N54" s="7">
        <f t="shared" si="8"/>
        <v>52</v>
      </c>
    </row>
    <row r="55" spans="1:14" ht="12.75" customHeight="1" x14ac:dyDescent="0.25">
      <c r="A55" s="2" t="s">
        <v>45</v>
      </c>
      <c r="B55" s="3" t="s">
        <v>64</v>
      </c>
      <c r="C55" s="3" t="s">
        <v>66</v>
      </c>
      <c r="D55" s="3" t="s">
        <v>40</v>
      </c>
      <c r="E55" s="3" t="s">
        <v>0</v>
      </c>
      <c r="F55" s="23">
        <v>45821</v>
      </c>
      <c r="G55" s="3">
        <v>6225</v>
      </c>
      <c r="H55" s="6">
        <v>12000</v>
      </c>
      <c r="I55" s="23">
        <v>45853</v>
      </c>
      <c r="J55" s="7">
        <f t="shared" si="4"/>
        <v>2025</v>
      </c>
      <c r="K55" s="7">
        <f t="shared" si="5"/>
        <v>6</v>
      </c>
      <c r="L55" s="7">
        <f t="shared" si="6"/>
        <v>2025</v>
      </c>
      <c r="M55" s="7">
        <f t="shared" si="7"/>
        <v>7</v>
      </c>
      <c r="N55" s="7">
        <f t="shared" si="8"/>
        <v>32</v>
      </c>
    </row>
    <row r="56" spans="1:14" ht="12.75" customHeight="1" x14ac:dyDescent="0.25">
      <c r="A56" s="2" t="s">
        <v>46</v>
      </c>
      <c r="B56" s="3" t="s">
        <v>64</v>
      </c>
      <c r="C56" s="3" t="s">
        <v>66</v>
      </c>
      <c r="D56" s="3" t="s">
        <v>40</v>
      </c>
      <c r="E56" s="3" t="s">
        <v>0</v>
      </c>
      <c r="F56" s="23">
        <v>45839</v>
      </c>
      <c r="G56" s="3">
        <v>6244</v>
      </c>
      <c r="H56" s="6">
        <v>12000</v>
      </c>
      <c r="I56" s="23">
        <v>45881</v>
      </c>
      <c r="J56" s="7">
        <f t="shared" si="4"/>
        <v>2025</v>
      </c>
      <c r="K56" s="7">
        <f t="shared" si="5"/>
        <v>7</v>
      </c>
      <c r="L56" s="7">
        <f t="shared" si="6"/>
        <v>2025</v>
      </c>
      <c r="M56" s="7">
        <f t="shared" si="7"/>
        <v>8</v>
      </c>
      <c r="N56" s="7">
        <f t="shared" si="8"/>
        <v>42</v>
      </c>
    </row>
    <row r="57" spans="1:14" ht="12.75" customHeight="1" x14ac:dyDescent="0.25">
      <c r="A57" s="2" t="s">
        <v>46</v>
      </c>
      <c r="B57" s="3" t="s">
        <v>64</v>
      </c>
      <c r="C57" s="3" t="s">
        <v>66</v>
      </c>
      <c r="D57" s="3" t="s">
        <v>40</v>
      </c>
      <c r="E57" s="3" t="s">
        <v>0</v>
      </c>
      <c r="F57" s="23">
        <v>45870</v>
      </c>
      <c r="G57" s="3">
        <v>6250</v>
      </c>
      <c r="H57" s="6">
        <v>12000</v>
      </c>
      <c r="I57" s="23">
        <v>45915</v>
      </c>
      <c r="J57" s="7">
        <f t="shared" si="4"/>
        <v>2025</v>
      </c>
      <c r="K57" s="7">
        <f t="shared" si="5"/>
        <v>8</v>
      </c>
      <c r="L57" s="7">
        <f t="shared" si="6"/>
        <v>2025</v>
      </c>
      <c r="M57" s="7">
        <f t="shared" si="7"/>
        <v>9</v>
      </c>
      <c r="N57" s="7">
        <f t="shared" si="8"/>
        <v>45</v>
      </c>
    </row>
    <row r="58" spans="1:14" ht="12.75" customHeight="1" x14ac:dyDescent="0.25">
      <c r="A58" s="2" t="s">
        <v>46</v>
      </c>
      <c r="B58" s="3" t="s">
        <v>64</v>
      </c>
      <c r="C58" s="3" t="s">
        <v>66</v>
      </c>
      <c r="D58" s="3" t="s">
        <v>40</v>
      </c>
      <c r="E58" s="3" t="s">
        <v>0</v>
      </c>
      <c r="F58" s="23">
        <v>45901</v>
      </c>
      <c r="G58" s="3">
        <v>6267</v>
      </c>
      <c r="H58" s="6">
        <v>12000</v>
      </c>
      <c r="I58" s="23">
        <v>45945</v>
      </c>
      <c r="J58" s="7">
        <f t="shared" si="4"/>
        <v>2025</v>
      </c>
      <c r="K58" s="7">
        <f t="shared" si="5"/>
        <v>9</v>
      </c>
      <c r="L58" s="7">
        <f t="shared" si="6"/>
        <v>2025</v>
      </c>
      <c r="M58" s="7">
        <f t="shared" si="7"/>
        <v>10</v>
      </c>
      <c r="N58" s="7">
        <f t="shared" si="8"/>
        <v>44</v>
      </c>
    </row>
    <row r="59" spans="1:14" ht="12.75" customHeight="1" x14ac:dyDescent="0.25">
      <c r="A59" s="2" t="s">
        <v>46</v>
      </c>
      <c r="B59" s="3" t="s">
        <v>64</v>
      </c>
      <c r="C59" s="3" t="s">
        <v>66</v>
      </c>
      <c r="D59" s="3" t="s">
        <v>40</v>
      </c>
      <c r="E59" s="3" t="s">
        <v>0</v>
      </c>
      <c r="F59" s="23">
        <v>45931</v>
      </c>
      <c r="G59" s="3">
        <v>6280</v>
      </c>
      <c r="H59" s="6">
        <v>12000</v>
      </c>
      <c r="I59" s="23">
        <v>45965</v>
      </c>
      <c r="J59" s="7">
        <f t="shared" si="4"/>
        <v>2025</v>
      </c>
      <c r="K59" s="7">
        <f t="shared" si="5"/>
        <v>10</v>
      </c>
      <c r="L59" s="7">
        <f t="shared" si="6"/>
        <v>2025</v>
      </c>
      <c r="M59" s="7">
        <f t="shared" si="7"/>
        <v>11</v>
      </c>
      <c r="N59" s="7">
        <f t="shared" si="8"/>
        <v>34</v>
      </c>
    </row>
    <row r="60" spans="1:14" ht="12.75" customHeight="1" x14ac:dyDescent="0.25">
      <c r="A60" s="2" t="s">
        <v>46</v>
      </c>
      <c r="B60" s="3" t="s">
        <v>64</v>
      </c>
      <c r="C60" s="3" t="s">
        <v>66</v>
      </c>
      <c r="D60" s="3" t="s">
        <v>40</v>
      </c>
      <c r="E60" s="3" t="s">
        <v>0</v>
      </c>
      <c r="F60" s="23">
        <v>45962</v>
      </c>
      <c r="G60" s="3">
        <v>6297</v>
      </c>
      <c r="H60" s="6">
        <v>12000</v>
      </c>
      <c r="I60" s="23">
        <v>46006</v>
      </c>
      <c r="J60" s="7">
        <f t="shared" si="4"/>
        <v>2025</v>
      </c>
      <c r="K60" s="7">
        <f t="shared" si="5"/>
        <v>11</v>
      </c>
      <c r="L60" s="7">
        <f t="shared" si="6"/>
        <v>2025</v>
      </c>
      <c r="M60" s="7">
        <f t="shared" si="7"/>
        <v>12</v>
      </c>
      <c r="N60" s="7">
        <f t="shared" si="8"/>
        <v>44</v>
      </c>
    </row>
    <row r="61" spans="1:14" ht="12.75" customHeight="1" x14ac:dyDescent="0.25">
      <c r="A61" s="2" t="s">
        <v>46</v>
      </c>
      <c r="B61" s="3" t="s">
        <v>64</v>
      </c>
      <c r="C61" s="3" t="s">
        <v>66</v>
      </c>
      <c r="D61" s="3" t="s">
        <v>40</v>
      </c>
      <c r="E61" s="3" t="s">
        <v>0</v>
      </c>
      <c r="F61" s="23">
        <v>45992</v>
      </c>
      <c r="G61" s="3">
        <v>6316</v>
      </c>
      <c r="H61" s="6">
        <v>12000</v>
      </c>
      <c r="I61" s="26">
        <v>46024</v>
      </c>
      <c r="J61" s="7">
        <f t="shared" si="4"/>
        <v>2025</v>
      </c>
      <c r="K61" s="7">
        <f t="shared" si="5"/>
        <v>12</v>
      </c>
      <c r="L61" s="7">
        <f t="shared" si="6"/>
        <v>2026</v>
      </c>
      <c r="M61" s="7">
        <f t="shared" si="7"/>
        <v>1</v>
      </c>
      <c r="N61" s="7">
        <f t="shared" si="8"/>
        <v>32</v>
      </c>
    </row>
    <row r="62" spans="1:14" ht="12.75" customHeight="1" x14ac:dyDescent="0.25">
      <c r="A62" s="2" t="s">
        <v>46</v>
      </c>
      <c r="B62" s="3" t="s">
        <v>64</v>
      </c>
      <c r="C62" s="3" t="s">
        <v>66</v>
      </c>
      <c r="D62" s="3" t="s">
        <v>40</v>
      </c>
      <c r="E62" s="3" t="s">
        <v>0</v>
      </c>
      <c r="F62" s="23">
        <v>46023</v>
      </c>
      <c r="G62" s="3">
        <v>6336</v>
      </c>
      <c r="H62" s="6">
        <v>12000</v>
      </c>
      <c r="I62" s="26">
        <f t="shared" ref="I62:I67" si="10">+F62+45</f>
        <v>46068</v>
      </c>
      <c r="J62" s="7">
        <f t="shared" si="4"/>
        <v>2026</v>
      </c>
      <c r="K62" s="7">
        <f t="shared" si="5"/>
        <v>1</v>
      </c>
      <c r="L62" s="7">
        <f t="shared" si="6"/>
        <v>2026</v>
      </c>
      <c r="M62" s="7">
        <f t="shared" si="7"/>
        <v>2</v>
      </c>
      <c r="N62" s="7">
        <f t="shared" si="8"/>
        <v>45</v>
      </c>
    </row>
    <row r="63" spans="1:14" ht="12.75" customHeight="1" x14ac:dyDescent="0.25">
      <c r="A63" s="13" t="s">
        <v>46</v>
      </c>
      <c r="B63" s="14" t="s">
        <v>64</v>
      </c>
      <c r="C63" s="14" t="s">
        <v>66</v>
      </c>
      <c r="D63" s="14" t="s">
        <v>41</v>
      </c>
      <c r="E63" s="14" t="s">
        <v>0</v>
      </c>
      <c r="F63" s="24">
        <v>46054</v>
      </c>
      <c r="G63" s="14" t="s">
        <v>32</v>
      </c>
      <c r="H63" s="15">
        <v>12000</v>
      </c>
      <c r="I63" s="26">
        <f t="shared" si="10"/>
        <v>46099</v>
      </c>
      <c r="J63" s="16">
        <f t="shared" si="4"/>
        <v>2026</v>
      </c>
      <c r="K63" s="16">
        <f t="shared" si="5"/>
        <v>2</v>
      </c>
      <c r="L63" s="16">
        <f t="shared" si="6"/>
        <v>2026</v>
      </c>
      <c r="M63" s="16">
        <f t="shared" si="7"/>
        <v>3</v>
      </c>
      <c r="N63" s="16">
        <f t="shared" si="8"/>
        <v>45</v>
      </c>
    </row>
    <row r="64" spans="1:14" ht="12.75" customHeight="1" x14ac:dyDescent="0.25">
      <c r="A64" s="13" t="s">
        <v>46</v>
      </c>
      <c r="B64" s="14" t="s">
        <v>64</v>
      </c>
      <c r="C64" s="14" t="s">
        <v>66</v>
      </c>
      <c r="D64" s="14" t="s">
        <v>41</v>
      </c>
      <c r="E64" s="14" t="s">
        <v>0</v>
      </c>
      <c r="F64" s="24">
        <v>46082</v>
      </c>
      <c r="G64" s="14" t="s">
        <v>32</v>
      </c>
      <c r="H64" s="15">
        <v>12000</v>
      </c>
      <c r="I64" s="26">
        <f t="shared" si="10"/>
        <v>46127</v>
      </c>
      <c r="J64" s="16">
        <f t="shared" si="4"/>
        <v>2026</v>
      </c>
      <c r="K64" s="16">
        <f t="shared" si="5"/>
        <v>3</v>
      </c>
      <c r="L64" s="16">
        <f t="shared" si="6"/>
        <v>2026</v>
      </c>
      <c r="M64" s="16">
        <f t="shared" si="7"/>
        <v>4</v>
      </c>
      <c r="N64" s="16">
        <f t="shared" si="8"/>
        <v>45</v>
      </c>
    </row>
    <row r="65" spans="1:14" ht="12.75" customHeight="1" x14ac:dyDescent="0.25">
      <c r="A65" s="13" t="s">
        <v>46</v>
      </c>
      <c r="B65" s="14" t="s">
        <v>64</v>
      </c>
      <c r="C65" s="14" t="s">
        <v>66</v>
      </c>
      <c r="D65" s="14" t="s">
        <v>41</v>
      </c>
      <c r="E65" s="14" t="s">
        <v>0</v>
      </c>
      <c r="F65" s="24">
        <v>46113</v>
      </c>
      <c r="G65" s="14" t="s">
        <v>32</v>
      </c>
      <c r="H65" s="15">
        <v>12000</v>
      </c>
      <c r="I65" s="26">
        <f t="shared" si="10"/>
        <v>46158</v>
      </c>
      <c r="J65" s="16">
        <f t="shared" si="4"/>
        <v>2026</v>
      </c>
      <c r="K65" s="16">
        <f t="shared" si="5"/>
        <v>4</v>
      </c>
      <c r="L65" s="16">
        <f t="shared" si="6"/>
        <v>2026</v>
      </c>
      <c r="M65" s="16">
        <f t="shared" si="7"/>
        <v>5</v>
      </c>
      <c r="N65" s="16">
        <f t="shared" si="8"/>
        <v>45</v>
      </c>
    </row>
    <row r="66" spans="1:14" ht="12.75" customHeight="1" x14ac:dyDescent="0.25">
      <c r="A66" s="13" t="s">
        <v>46</v>
      </c>
      <c r="B66" s="14" t="s">
        <v>64</v>
      </c>
      <c r="C66" s="14" t="s">
        <v>66</v>
      </c>
      <c r="D66" s="14" t="s">
        <v>41</v>
      </c>
      <c r="E66" s="14" t="s">
        <v>0</v>
      </c>
      <c r="F66" s="24">
        <v>46143</v>
      </c>
      <c r="G66" s="14" t="s">
        <v>32</v>
      </c>
      <c r="H66" s="15">
        <v>12000</v>
      </c>
      <c r="I66" s="26">
        <f t="shared" si="10"/>
        <v>46188</v>
      </c>
      <c r="J66" s="16">
        <f t="shared" si="4"/>
        <v>2026</v>
      </c>
      <c r="K66" s="16">
        <f t="shared" si="5"/>
        <v>5</v>
      </c>
      <c r="L66" s="16">
        <f t="shared" si="6"/>
        <v>2026</v>
      </c>
      <c r="M66" s="16">
        <f t="shared" si="7"/>
        <v>6</v>
      </c>
      <c r="N66" s="16">
        <f t="shared" si="8"/>
        <v>45</v>
      </c>
    </row>
    <row r="67" spans="1:14" ht="12.75" customHeight="1" x14ac:dyDescent="0.25">
      <c r="A67" s="13" t="s">
        <v>46</v>
      </c>
      <c r="B67" s="14" t="s">
        <v>64</v>
      </c>
      <c r="C67" s="14" t="s">
        <v>66</v>
      </c>
      <c r="D67" s="14" t="s">
        <v>41</v>
      </c>
      <c r="E67" s="14" t="s">
        <v>0</v>
      </c>
      <c r="F67" s="24">
        <v>46174</v>
      </c>
      <c r="G67" s="14" t="s">
        <v>32</v>
      </c>
      <c r="H67" s="15">
        <v>12000</v>
      </c>
      <c r="I67" s="26">
        <f t="shared" si="10"/>
        <v>46219</v>
      </c>
      <c r="J67" s="16">
        <f t="shared" ref="J67:J130" si="11">YEAR(F67)</f>
        <v>2026</v>
      </c>
      <c r="K67" s="16">
        <f t="shared" ref="K67:K130" si="12">MONTH(F67)</f>
        <v>6</v>
      </c>
      <c r="L67" s="16">
        <f t="shared" ref="L67:L130" si="13">YEAR(I67)</f>
        <v>2026</v>
      </c>
      <c r="M67" s="16">
        <f t="shared" ref="M67:M130" si="14">MONTH(I67)</f>
        <v>7</v>
      </c>
      <c r="N67" s="16">
        <f t="shared" ref="N67:N130" si="15">+I67-F67</f>
        <v>45</v>
      </c>
    </row>
    <row r="68" spans="1:14" ht="12.75" customHeight="1" x14ac:dyDescent="0.25">
      <c r="A68" s="1" t="s">
        <v>13</v>
      </c>
      <c r="B68" s="34" t="s">
        <v>61</v>
      </c>
      <c r="C68" s="34" t="s">
        <v>66</v>
      </c>
      <c r="D68" s="3" t="s">
        <v>40</v>
      </c>
      <c r="E68" s="3" t="s">
        <v>0</v>
      </c>
      <c r="F68" s="23">
        <v>45747</v>
      </c>
      <c r="G68" s="3">
        <v>6196</v>
      </c>
      <c r="H68" s="6">
        <v>2628.8</v>
      </c>
      <c r="I68" s="23">
        <v>45789</v>
      </c>
      <c r="J68" s="7">
        <f t="shared" si="11"/>
        <v>2025</v>
      </c>
      <c r="K68" s="7">
        <f t="shared" si="12"/>
        <v>3</v>
      </c>
      <c r="L68" s="7">
        <f t="shared" si="13"/>
        <v>2025</v>
      </c>
      <c r="M68" s="7">
        <f t="shared" si="14"/>
        <v>5</v>
      </c>
      <c r="N68" s="7">
        <f t="shared" si="15"/>
        <v>42</v>
      </c>
    </row>
    <row r="69" spans="1:14" ht="12.75" customHeight="1" x14ac:dyDescent="0.25">
      <c r="A69" s="1" t="s">
        <v>13</v>
      </c>
      <c r="B69" s="34" t="s">
        <v>61</v>
      </c>
      <c r="C69" s="34" t="s">
        <v>66</v>
      </c>
      <c r="D69" s="3" t="s">
        <v>40</v>
      </c>
      <c r="E69" s="3" t="s">
        <v>0</v>
      </c>
      <c r="F69" s="23">
        <v>45777</v>
      </c>
      <c r="G69" s="3">
        <v>6210</v>
      </c>
      <c r="H69" s="6">
        <v>17046.8</v>
      </c>
      <c r="I69" s="23">
        <v>45824</v>
      </c>
      <c r="J69" s="7">
        <f t="shared" si="11"/>
        <v>2025</v>
      </c>
      <c r="K69" s="7">
        <f t="shared" si="12"/>
        <v>4</v>
      </c>
      <c r="L69" s="7">
        <f t="shared" si="13"/>
        <v>2025</v>
      </c>
      <c r="M69" s="7">
        <f t="shared" si="14"/>
        <v>6</v>
      </c>
      <c r="N69" s="7">
        <f t="shared" si="15"/>
        <v>47</v>
      </c>
    </row>
    <row r="70" spans="1:14" ht="12.75" customHeight="1" x14ac:dyDescent="0.25">
      <c r="A70" s="1" t="s">
        <v>13</v>
      </c>
      <c r="B70" s="34" t="s">
        <v>61</v>
      </c>
      <c r="C70" s="34" t="s">
        <v>66</v>
      </c>
      <c r="D70" s="3" t="s">
        <v>40</v>
      </c>
      <c r="E70" s="3" t="s">
        <v>0</v>
      </c>
      <c r="F70" s="23">
        <v>45808</v>
      </c>
      <c r="G70" s="3">
        <v>6223</v>
      </c>
      <c r="H70" s="6">
        <v>16716.8</v>
      </c>
      <c r="I70" s="23">
        <v>45853</v>
      </c>
      <c r="J70" s="7">
        <f t="shared" si="11"/>
        <v>2025</v>
      </c>
      <c r="K70" s="7">
        <f t="shared" si="12"/>
        <v>5</v>
      </c>
      <c r="L70" s="7">
        <f t="shared" si="13"/>
        <v>2025</v>
      </c>
      <c r="M70" s="7">
        <f t="shared" si="14"/>
        <v>7</v>
      </c>
      <c r="N70" s="7">
        <f t="shared" si="15"/>
        <v>45</v>
      </c>
    </row>
    <row r="71" spans="1:14" ht="12.75" customHeight="1" x14ac:dyDescent="0.25">
      <c r="A71" s="1" t="s">
        <v>13</v>
      </c>
      <c r="B71" s="34" t="s">
        <v>61</v>
      </c>
      <c r="C71" s="34" t="s">
        <v>66</v>
      </c>
      <c r="D71" s="3" t="s">
        <v>40</v>
      </c>
      <c r="E71" s="3" t="s">
        <v>0</v>
      </c>
      <c r="F71" s="23">
        <v>45818</v>
      </c>
      <c r="G71" s="3">
        <v>6224</v>
      </c>
      <c r="H71" s="6">
        <v>14007.6</v>
      </c>
      <c r="I71" s="23">
        <v>45853</v>
      </c>
      <c r="J71" s="7">
        <f t="shared" si="11"/>
        <v>2025</v>
      </c>
      <c r="K71" s="7">
        <f t="shared" si="12"/>
        <v>6</v>
      </c>
      <c r="L71" s="7">
        <f t="shared" si="13"/>
        <v>2025</v>
      </c>
      <c r="M71" s="7">
        <f t="shared" si="14"/>
        <v>7</v>
      </c>
      <c r="N71" s="7">
        <f t="shared" si="15"/>
        <v>35</v>
      </c>
    </row>
    <row r="72" spans="1:14" ht="12.75" customHeight="1" x14ac:dyDescent="0.25">
      <c r="A72" s="1" t="s">
        <v>56</v>
      </c>
      <c r="B72" s="34" t="s">
        <v>61</v>
      </c>
      <c r="C72" s="34" t="s">
        <v>66</v>
      </c>
      <c r="D72" s="3" t="s">
        <v>40</v>
      </c>
      <c r="E72" s="3" t="s">
        <v>0</v>
      </c>
      <c r="F72" s="23">
        <v>45838</v>
      </c>
      <c r="G72" s="3">
        <v>6256</v>
      </c>
      <c r="H72" s="6">
        <v>1100</v>
      </c>
      <c r="I72" s="23">
        <v>45915</v>
      </c>
      <c r="J72" s="7">
        <f t="shared" si="11"/>
        <v>2025</v>
      </c>
      <c r="K72" s="7">
        <f t="shared" si="12"/>
        <v>6</v>
      </c>
      <c r="L72" s="7">
        <f t="shared" si="13"/>
        <v>2025</v>
      </c>
      <c r="M72" s="7">
        <f t="shared" si="14"/>
        <v>9</v>
      </c>
      <c r="N72" s="7">
        <f t="shared" si="15"/>
        <v>77</v>
      </c>
    </row>
    <row r="73" spans="1:14" ht="12.75" customHeight="1" x14ac:dyDescent="0.25">
      <c r="A73" s="1" t="s">
        <v>56</v>
      </c>
      <c r="B73" s="34" t="s">
        <v>61</v>
      </c>
      <c r="C73" s="34" t="s">
        <v>66</v>
      </c>
      <c r="D73" s="3" t="s">
        <v>40</v>
      </c>
      <c r="E73" s="3" t="s">
        <v>0</v>
      </c>
      <c r="F73" s="23">
        <v>45869</v>
      </c>
      <c r="G73" s="3">
        <v>6257</v>
      </c>
      <c r="H73" s="6">
        <v>2200</v>
      </c>
      <c r="I73" s="23">
        <v>45915</v>
      </c>
      <c r="J73" s="7">
        <f t="shared" si="11"/>
        <v>2025</v>
      </c>
      <c r="K73" s="7">
        <f t="shared" si="12"/>
        <v>7</v>
      </c>
      <c r="L73" s="7">
        <f t="shared" si="13"/>
        <v>2025</v>
      </c>
      <c r="M73" s="7">
        <f t="shared" si="14"/>
        <v>9</v>
      </c>
      <c r="N73" s="7">
        <f t="shared" si="15"/>
        <v>46</v>
      </c>
    </row>
    <row r="74" spans="1:14" ht="12.75" customHeight="1" x14ac:dyDescent="0.25">
      <c r="A74" s="1" t="s">
        <v>56</v>
      </c>
      <c r="B74" s="34" t="s">
        <v>61</v>
      </c>
      <c r="C74" s="34" t="s">
        <v>66</v>
      </c>
      <c r="D74" s="3" t="s">
        <v>40</v>
      </c>
      <c r="E74" s="3" t="s">
        <v>0</v>
      </c>
      <c r="F74" s="23">
        <v>45900</v>
      </c>
      <c r="G74" s="3">
        <v>6269</v>
      </c>
      <c r="H74" s="6">
        <v>2200</v>
      </c>
      <c r="I74" s="23">
        <v>45931</v>
      </c>
      <c r="J74" s="7">
        <f t="shared" si="11"/>
        <v>2025</v>
      </c>
      <c r="K74" s="7">
        <f t="shared" si="12"/>
        <v>8</v>
      </c>
      <c r="L74" s="7">
        <f t="shared" si="13"/>
        <v>2025</v>
      </c>
      <c r="M74" s="7">
        <f t="shared" si="14"/>
        <v>10</v>
      </c>
      <c r="N74" s="7">
        <f t="shared" si="15"/>
        <v>31</v>
      </c>
    </row>
    <row r="75" spans="1:14" ht="12.75" customHeight="1" x14ac:dyDescent="0.25">
      <c r="A75" s="1" t="s">
        <v>56</v>
      </c>
      <c r="B75" s="34" t="s">
        <v>61</v>
      </c>
      <c r="C75" s="34" t="s">
        <v>66</v>
      </c>
      <c r="D75" s="3" t="s">
        <v>40</v>
      </c>
      <c r="E75" s="3" t="s">
        <v>0</v>
      </c>
      <c r="F75" s="23">
        <v>45930</v>
      </c>
      <c r="G75" s="3">
        <v>6284</v>
      </c>
      <c r="H75" s="6">
        <v>2200</v>
      </c>
      <c r="I75" s="23">
        <v>45965</v>
      </c>
      <c r="J75" s="7">
        <f t="shared" si="11"/>
        <v>2025</v>
      </c>
      <c r="K75" s="7">
        <f t="shared" si="12"/>
        <v>9</v>
      </c>
      <c r="L75" s="7">
        <f t="shared" si="13"/>
        <v>2025</v>
      </c>
      <c r="M75" s="7">
        <f t="shared" si="14"/>
        <v>11</v>
      </c>
      <c r="N75" s="7">
        <f t="shared" si="15"/>
        <v>35</v>
      </c>
    </row>
    <row r="76" spans="1:14" ht="12.75" customHeight="1" x14ac:dyDescent="0.25">
      <c r="A76" s="1" t="s">
        <v>56</v>
      </c>
      <c r="B76" s="34" t="s">
        <v>61</v>
      </c>
      <c r="C76" s="34" t="s">
        <v>66</v>
      </c>
      <c r="D76" s="3" t="s">
        <v>40</v>
      </c>
      <c r="E76" s="3" t="s">
        <v>0</v>
      </c>
      <c r="F76" s="23">
        <v>45961</v>
      </c>
      <c r="G76" s="3">
        <v>6309</v>
      </c>
      <c r="H76" s="6">
        <v>2200</v>
      </c>
      <c r="I76" s="23">
        <v>46001</v>
      </c>
      <c r="J76" s="7">
        <f t="shared" si="11"/>
        <v>2025</v>
      </c>
      <c r="K76" s="7">
        <f t="shared" si="12"/>
        <v>10</v>
      </c>
      <c r="L76" s="7">
        <f t="shared" si="13"/>
        <v>2025</v>
      </c>
      <c r="M76" s="7">
        <f t="shared" si="14"/>
        <v>12</v>
      </c>
      <c r="N76" s="7">
        <f t="shared" si="15"/>
        <v>40</v>
      </c>
    </row>
    <row r="77" spans="1:14" ht="12.75" customHeight="1" x14ac:dyDescent="0.25">
      <c r="A77" s="1" t="s">
        <v>56</v>
      </c>
      <c r="B77" s="34" t="s">
        <v>61</v>
      </c>
      <c r="C77" s="34" t="s">
        <v>66</v>
      </c>
      <c r="D77" s="3" t="s">
        <v>40</v>
      </c>
      <c r="E77" s="3" t="s">
        <v>0</v>
      </c>
      <c r="F77" s="23">
        <v>45991</v>
      </c>
      <c r="G77" s="3">
        <v>6318</v>
      </c>
      <c r="H77" s="6">
        <v>2200</v>
      </c>
      <c r="I77" s="26">
        <v>46024</v>
      </c>
      <c r="J77" s="7">
        <f t="shared" si="11"/>
        <v>2025</v>
      </c>
      <c r="K77" s="7">
        <f t="shared" si="12"/>
        <v>11</v>
      </c>
      <c r="L77" s="7">
        <f t="shared" si="13"/>
        <v>2026</v>
      </c>
      <c r="M77" s="7">
        <f t="shared" si="14"/>
        <v>1</v>
      </c>
      <c r="N77" s="7">
        <f t="shared" si="15"/>
        <v>33</v>
      </c>
    </row>
    <row r="78" spans="1:14" ht="12.75" customHeight="1" x14ac:dyDescent="0.25">
      <c r="A78" s="1" t="s">
        <v>56</v>
      </c>
      <c r="B78" s="34" t="s">
        <v>61</v>
      </c>
      <c r="C78" s="34" t="s">
        <v>66</v>
      </c>
      <c r="D78" s="3" t="s">
        <v>40</v>
      </c>
      <c r="E78" s="3" t="s">
        <v>0</v>
      </c>
      <c r="F78" s="23">
        <v>46022</v>
      </c>
      <c r="G78" s="3">
        <v>6329</v>
      </c>
      <c r="H78" s="6">
        <v>2200</v>
      </c>
      <c r="I78" s="26">
        <f t="shared" ref="I77:I89" si="16">+F78+45</f>
        <v>46067</v>
      </c>
      <c r="J78" s="7">
        <f t="shared" si="11"/>
        <v>2025</v>
      </c>
      <c r="K78" s="7">
        <f t="shared" si="12"/>
        <v>12</v>
      </c>
      <c r="L78" s="7">
        <f t="shared" si="13"/>
        <v>2026</v>
      </c>
      <c r="M78" s="7">
        <f t="shared" si="14"/>
        <v>2</v>
      </c>
      <c r="N78" s="7">
        <f t="shared" si="15"/>
        <v>45</v>
      </c>
    </row>
    <row r="79" spans="1:14" ht="12.75" customHeight="1" x14ac:dyDescent="0.25">
      <c r="A79" s="1" t="s">
        <v>53</v>
      </c>
      <c r="B79" s="34" t="s">
        <v>64</v>
      </c>
      <c r="C79" s="34" t="s">
        <v>66</v>
      </c>
      <c r="D79" s="3" t="s">
        <v>40</v>
      </c>
      <c r="E79" s="3" t="s">
        <v>0</v>
      </c>
      <c r="F79" s="23">
        <v>45839</v>
      </c>
      <c r="G79" s="3">
        <v>6234</v>
      </c>
      <c r="H79" s="6">
        <v>25000</v>
      </c>
      <c r="I79" s="23">
        <v>45881</v>
      </c>
      <c r="J79" s="7">
        <f t="shared" si="11"/>
        <v>2025</v>
      </c>
      <c r="K79" s="7">
        <f t="shared" si="12"/>
        <v>7</v>
      </c>
      <c r="L79" s="7">
        <f t="shared" si="13"/>
        <v>2025</v>
      </c>
      <c r="M79" s="7">
        <f t="shared" si="14"/>
        <v>8</v>
      </c>
      <c r="N79" s="7">
        <f t="shared" si="15"/>
        <v>42</v>
      </c>
    </row>
    <row r="80" spans="1:14" ht="12.75" customHeight="1" x14ac:dyDescent="0.25">
      <c r="A80" s="1" t="s">
        <v>53</v>
      </c>
      <c r="B80" s="34" t="s">
        <v>64</v>
      </c>
      <c r="C80" s="34" t="s">
        <v>66</v>
      </c>
      <c r="D80" s="3" t="s">
        <v>40</v>
      </c>
      <c r="E80" s="3" t="s">
        <v>0</v>
      </c>
      <c r="F80" s="23">
        <v>45869</v>
      </c>
      <c r="G80" s="3">
        <v>6251</v>
      </c>
      <c r="H80" s="6">
        <v>10000</v>
      </c>
      <c r="I80" s="23">
        <v>45915</v>
      </c>
      <c r="J80" s="7">
        <f t="shared" si="11"/>
        <v>2025</v>
      </c>
      <c r="K80" s="7">
        <f t="shared" si="12"/>
        <v>7</v>
      </c>
      <c r="L80" s="7">
        <f t="shared" si="13"/>
        <v>2025</v>
      </c>
      <c r="M80" s="7">
        <f t="shared" si="14"/>
        <v>9</v>
      </c>
      <c r="N80" s="7">
        <f t="shared" si="15"/>
        <v>46</v>
      </c>
    </row>
    <row r="81" spans="1:14" ht="12.75" customHeight="1" x14ac:dyDescent="0.25">
      <c r="A81" s="1" t="s">
        <v>53</v>
      </c>
      <c r="B81" s="34" t="s">
        <v>64</v>
      </c>
      <c r="C81" s="34" t="s">
        <v>66</v>
      </c>
      <c r="D81" s="3" t="s">
        <v>40</v>
      </c>
      <c r="E81" s="3" t="s">
        <v>0</v>
      </c>
      <c r="F81" s="23">
        <v>45900</v>
      </c>
      <c r="G81" s="3">
        <v>6268</v>
      </c>
      <c r="H81" s="6">
        <v>10000</v>
      </c>
      <c r="I81" s="23">
        <v>45945</v>
      </c>
      <c r="J81" s="7">
        <f t="shared" si="11"/>
        <v>2025</v>
      </c>
      <c r="K81" s="7">
        <f t="shared" si="12"/>
        <v>8</v>
      </c>
      <c r="L81" s="7">
        <f t="shared" si="13"/>
        <v>2025</v>
      </c>
      <c r="M81" s="7">
        <f t="shared" si="14"/>
        <v>10</v>
      </c>
      <c r="N81" s="7">
        <f t="shared" si="15"/>
        <v>45</v>
      </c>
    </row>
    <row r="82" spans="1:14" ht="12.75" customHeight="1" x14ac:dyDescent="0.25">
      <c r="A82" s="1" t="s">
        <v>53</v>
      </c>
      <c r="B82" s="34" t="s">
        <v>64</v>
      </c>
      <c r="C82" s="34" t="s">
        <v>66</v>
      </c>
      <c r="D82" s="3" t="s">
        <v>40</v>
      </c>
      <c r="E82" s="3" t="s">
        <v>0</v>
      </c>
      <c r="F82" s="23">
        <v>45961</v>
      </c>
      <c r="G82" s="3">
        <v>6298</v>
      </c>
      <c r="H82" s="6">
        <v>5000</v>
      </c>
      <c r="I82" s="23">
        <v>46001</v>
      </c>
      <c r="J82" s="7">
        <f t="shared" si="11"/>
        <v>2025</v>
      </c>
      <c r="K82" s="7">
        <f t="shared" si="12"/>
        <v>10</v>
      </c>
      <c r="L82" s="7">
        <f t="shared" si="13"/>
        <v>2025</v>
      </c>
      <c r="M82" s="7">
        <f t="shared" si="14"/>
        <v>12</v>
      </c>
      <c r="N82" s="7">
        <f t="shared" si="15"/>
        <v>40</v>
      </c>
    </row>
    <row r="83" spans="1:14" ht="12.75" customHeight="1" x14ac:dyDescent="0.25">
      <c r="A83" s="1" t="s">
        <v>53</v>
      </c>
      <c r="B83" s="34" t="s">
        <v>64</v>
      </c>
      <c r="C83" s="34" t="s">
        <v>66</v>
      </c>
      <c r="D83" s="3" t="s">
        <v>40</v>
      </c>
      <c r="E83" s="3" t="s">
        <v>0</v>
      </c>
      <c r="F83" s="23">
        <v>45962</v>
      </c>
      <c r="G83" s="3">
        <v>6299</v>
      </c>
      <c r="H83" s="6">
        <v>3000</v>
      </c>
      <c r="I83" s="23">
        <v>46001</v>
      </c>
      <c r="J83" s="7">
        <f t="shared" si="11"/>
        <v>2025</v>
      </c>
      <c r="K83" s="7">
        <f t="shared" si="12"/>
        <v>11</v>
      </c>
      <c r="L83" s="7">
        <f t="shared" si="13"/>
        <v>2025</v>
      </c>
      <c r="M83" s="7">
        <f t="shared" si="14"/>
        <v>12</v>
      </c>
      <c r="N83" s="7">
        <f t="shared" si="15"/>
        <v>39</v>
      </c>
    </row>
    <row r="84" spans="1:14" ht="12.75" customHeight="1" x14ac:dyDescent="0.25">
      <c r="A84" s="1" t="s">
        <v>53</v>
      </c>
      <c r="B84" s="34" t="s">
        <v>64</v>
      </c>
      <c r="C84" s="34" t="s">
        <v>66</v>
      </c>
      <c r="D84" s="3" t="s">
        <v>40</v>
      </c>
      <c r="E84" s="3" t="s">
        <v>0</v>
      </c>
      <c r="F84" s="23">
        <v>45992</v>
      </c>
      <c r="G84" s="3">
        <v>6315</v>
      </c>
      <c r="H84" s="6">
        <v>3000</v>
      </c>
      <c r="I84" s="26">
        <v>46024</v>
      </c>
      <c r="J84" s="7">
        <f t="shared" si="11"/>
        <v>2025</v>
      </c>
      <c r="K84" s="7">
        <f t="shared" si="12"/>
        <v>12</v>
      </c>
      <c r="L84" s="7">
        <f t="shared" si="13"/>
        <v>2026</v>
      </c>
      <c r="M84" s="7">
        <f t="shared" si="14"/>
        <v>1</v>
      </c>
      <c r="N84" s="7">
        <f t="shared" si="15"/>
        <v>32</v>
      </c>
    </row>
    <row r="85" spans="1:14" ht="12.75" customHeight="1" x14ac:dyDescent="0.25">
      <c r="A85" s="1" t="s">
        <v>53</v>
      </c>
      <c r="B85" s="34" t="s">
        <v>64</v>
      </c>
      <c r="C85" s="34" t="s">
        <v>66</v>
      </c>
      <c r="D85" s="3" t="s">
        <v>40</v>
      </c>
      <c r="E85" s="3" t="s">
        <v>0</v>
      </c>
      <c r="F85" s="23">
        <v>46023</v>
      </c>
      <c r="G85" s="3">
        <v>6335</v>
      </c>
      <c r="H85" s="6">
        <v>3000</v>
      </c>
      <c r="I85" s="26">
        <f t="shared" si="16"/>
        <v>46068</v>
      </c>
      <c r="J85" s="7">
        <f t="shared" si="11"/>
        <v>2026</v>
      </c>
      <c r="K85" s="7">
        <f t="shared" si="12"/>
        <v>1</v>
      </c>
      <c r="L85" s="7">
        <f t="shared" si="13"/>
        <v>2026</v>
      </c>
      <c r="M85" s="7">
        <f t="shared" si="14"/>
        <v>2</v>
      </c>
      <c r="N85" s="7">
        <f t="shared" si="15"/>
        <v>45</v>
      </c>
    </row>
    <row r="86" spans="1:14" ht="12.75" customHeight="1" x14ac:dyDescent="0.25">
      <c r="A86" s="22" t="s">
        <v>53</v>
      </c>
      <c r="B86" s="35" t="s">
        <v>64</v>
      </c>
      <c r="C86" s="35" t="s">
        <v>66</v>
      </c>
      <c r="D86" s="14" t="s">
        <v>41</v>
      </c>
      <c r="E86" s="14" t="s">
        <v>0</v>
      </c>
      <c r="F86" s="24">
        <v>46054</v>
      </c>
      <c r="G86" s="14" t="s">
        <v>32</v>
      </c>
      <c r="H86" s="15">
        <v>3000</v>
      </c>
      <c r="I86" s="26">
        <f t="shared" si="16"/>
        <v>46099</v>
      </c>
      <c r="J86" s="16">
        <f t="shared" si="11"/>
        <v>2026</v>
      </c>
      <c r="K86" s="16">
        <f t="shared" si="12"/>
        <v>2</v>
      </c>
      <c r="L86" s="16">
        <f t="shared" si="13"/>
        <v>2026</v>
      </c>
      <c r="M86" s="16">
        <f t="shared" si="14"/>
        <v>3</v>
      </c>
      <c r="N86" s="16">
        <f t="shared" si="15"/>
        <v>45</v>
      </c>
    </row>
    <row r="87" spans="1:14" ht="12.75" customHeight="1" x14ac:dyDescent="0.25">
      <c r="A87" s="22" t="s">
        <v>53</v>
      </c>
      <c r="B87" s="35" t="s">
        <v>64</v>
      </c>
      <c r="C87" s="35" t="s">
        <v>66</v>
      </c>
      <c r="D87" s="14" t="s">
        <v>41</v>
      </c>
      <c r="E87" s="14" t="s">
        <v>0</v>
      </c>
      <c r="F87" s="24">
        <v>46082</v>
      </c>
      <c r="G87" s="14" t="s">
        <v>32</v>
      </c>
      <c r="H87" s="15">
        <v>3000</v>
      </c>
      <c r="I87" s="26">
        <f t="shared" si="16"/>
        <v>46127</v>
      </c>
      <c r="J87" s="16">
        <f t="shared" si="11"/>
        <v>2026</v>
      </c>
      <c r="K87" s="16">
        <f t="shared" si="12"/>
        <v>3</v>
      </c>
      <c r="L87" s="16">
        <f t="shared" si="13"/>
        <v>2026</v>
      </c>
      <c r="M87" s="16">
        <f t="shared" si="14"/>
        <v>4</v>
      </c>
      <c r="N87" s="16">
        <f t="shared" si="15"/>
        <v>45</v>
      </c>
    </row>
    <row r="88" spans="1:14" ht="12.75" customHeight="1" x14ac:dyDescent="0.25">
      <c r="A88" s="22" t="s">
        <v>53</v>
      </c>
      <c r="B88" s="35" t="s">
        <v>64</v>
      </c>
      <c r="C88" s="35" t="s">
        <v>66</v>
      </c>
      <c r="D88" s="14" t="s">
        <v>41</v>
      </c>
      <c r="E88" s="14" t="s">
        <v>0</v>
      </c>
      <c r="F88" s="24">
        <v>46113</v>
      </c>
      <c r="G88" s="14" t="s">
        <v>32</v>
      </c>
      <c r="H88" s="15">
        <v>3000</v>
      </c>
      <c r="I88" s="26">
        <f t="shared" si="16"/>
        <v>46158</v>
      </c>
      <c r="J88" s="16">
        <f t="shared" si="11"/>
        <v>2026</v>
      </c>
      <c r="K88" s="16">
        <f t="shared" si="12"/>
        <v>4</v>
      </c>
      <c r="L88" s="16">
        <f t="shared" si="13"/>
        <v>2026</v>
      </c>
      <c r="M88" s="16">
        <f t="shared" si="14"/>
        <v>5</v>
      </c>
      <c r="N88" s="16">
        <f t="shared" si="15"/>
        <v>45</v>
      </c>
    </row>
    <row r="89" spans="1:14" ht="12.75" customHeight="1" x14ac:dyDescent="0.25">
      <c r="A89" s="22" t="s">
        <v>53</v>
      </c>
      <c r="B89" s="35" t="s">
        <v>64</v>
      </c>
      <c r="C89" s="35" t="s">
        <v>66</v>
      </c>
      <c r="D89" s="14" t="s">
        <v>41</v>
      </c>
      <c r="E89" s="14" t="s">
        <v>0</v>
      </c>
      <c r="F89" s="24">
        <v>46143</v>
      </c>
      <c r="G89" s="14" t="s">
        <v>32</v>
      </c>
      <c r="H89" s="15">
        <v>3000</v>
      </c>
      <c r="I89" s="26">
        <f t="shared" si="16"/>
        <v>46188</v>
      </c>
      <c r="J89" s="16">
        <f t="shared" si="11"/>
        <v>2026</v>
      </c>
      <c r="K89" s="16">
        <f t="shared" si="12"/>
        <v>5</v>
      </c>
      <c r="L89" s="16">
        <f t="shared" si="13"/>
        <v>2026</v>
      </c>
      <c r="M89" s="16">
        <f t="shared" si="14"/>
        <v>6</v>
      </c>
      <c r="N89" s="16">
        <f t="shared" si="15"/>
        <v>45</v>
      </c>
    </row>
    <row r="90" spans="1:14" ht="12.75" customHeight="1" x14ac:dyDescent="0.25">
      <c r="A90" s="22" t="s">
        <v>53</v>
      </c>
      <c r="B90" s="35" t="s">
        <v>64</v>
      </c>
      <c r="C90" s="35" t="s">
        <v>66</v>
      </c>
      <c r="D90" s="14" t="s">
        <v>41</v>
      </c>
      <c r="E90" s="14" t="s">
        <v>0</v>
      </c>
      <c r="F90" s="24">
        <v>46174</v>
      </c>
      <c r="G90" s="14" t="s">
        <v>32</v>
      </c>
      <c r="H90" s="15">
        <v>3000</v>
      </c>
      <c r="I90" s="26">
        <f t="shared" ref="I90:I94" si="17">+F90+45</f>
        <v>46219</v>
      </c>
      <c r="J90" s="16">
        <f t="shared" si="11"/>
        <v>2026</v>
      </c>
      <c r="K90" s="16">
        <f t="shared" si="12"/>
        <v>6</v>
      </c>
      <c r="L90" s="16">
        <f t="shared" si="13"/>
        <v>2026</v>
      </c>
      <c r="M90" s="16">
        <f t="shared" si="14"/>
        <v>7</v>
      </c>
      <c r="N90" s="16">
        <f t="shared" si="15"/>
        <v>45</v>
      </c>
    </row>
    <row r="91" spans="1:14" ht="12.75" customHeight="1" x14ac:dyDescent="0.25">
      <c r="A91" s="22" t="s">
        <v>53</v>
      </c>
      <c r="B91" s="35" t="s">
        <v>64</v>
      </c>
      <c r="C91" s="35" t="s">
        <v>66</v>
      </c>
      <c r="D91" s="14" t="s">
        <v>41</v>
      </c>
      <c r="E91" s="14" t="s">
        <v>0</v>
      </c>
      <c r="F91" s="24">
        <v>46204</v>
      </c>
      <c r="G91" s="14" t="s">
        <v>32</v>
      </c>
      <c r="H91" s="15">
        <v>3000</v>
      </c>
      <c r="I91" s="26">
        <f t="shared" si="17"/>
        <v>46249</v>
      </c>
      <c r="J91" s="16">
        <f t="shared" si="11"/>
        <v>2026</v>
      </c>
      <c r="K91" s="16">
        <f t="shared" si="12"/>
        <v>7</v>
      </c>
      <c r="L91" s="16">
        <f t="shared" si="13"/>
        <v>2026</v>
      </c>
      <c r="M91" s="16">
        <f t="shared" si="14"/>
        <v>8</v>
      </c>
      <c r="N91" s="16">
        <f t="shared" si="15"/>
        <v>45</v>
      </c>
    </row>
    <row r="92" spans="1:14" ht="12.75" customHeight="1" x14ac:dyDescent="0.25">
      <c r="A92" s="22" t="s">
        <v>53</v>
      </c>
      <c r="B92" s="35" t="s">
        <v>64</v>
      </c>
      <c r="C92" s="35" t="s">
        <v>66</v>
      </c>
      <c r="D92" s="14" t="s">
        <v>41</v>
      </c>
      <c r="E92" s="14" t="s">
        <v>0</v>
      </c>
      <c r="F92" s="24">
        <v>46235</v>
      </c>
      <c r="G92" s="14" t="s">
        <v>32</v>
      </c>
      <c r="H92" s="15">
        <v>3000</v>
      </c>
      <c r="I92" s="26">
        <f t="shared" si="17"/>
        <v>46280</v>
      </c>
      <c r="J92" s="16">
        <f t="shared" si="11"/>
        <v>2026</v>
      </c>
      <c r="K92" s="16">
        <f t="shared" si="12"/>
        <v>8</v>
      </c>
      <c r="L92" s="16">
        <f t="shared" si="13"/>
        <v>2026</v>
      </c>
      <c r="M92" s="16">
        <f t="shared" si="14"/>
        <v>9</v>
      </c>
      <c r="N92" s="16">
        <f t="shared" si="15"/>
        <v>45</v>
      </c>
    </row>
    <row r="93" spans="1:14" ht="12.75" customHeight="1" x14ac:dyDescent="0.25">
      <c r="A93" s="22" t="s">
        <v>53</v>
      </c>
      <c r="B93" s="35" t="s">
        <v>64</v>
      </c>
      <c r="C93" s="35" t="s">
        <v>66</v>
      </c>
      <c r="D93" s="14" t="s">
        <v>41</v>
      </c>
      <c r="E93" s="14" t="s">
        <v>0</v>
      </c>
      <c r="F93" s="24">
        <v>46266</v>
      </c>
      <c r="G93" s="14" t="s">
        <v>32</v>
      </c>
      <c r="H93" s="15">
        <v>3000</v>
      </c>
      <c r="I93" s="26">
        <f t="shared" si="17"/>
        <v>46311</v>
      </c>
      <c r="J93" s="16">
        <f t="shared" si="11"/>
        <v>2026</v>
      </c>
      <c r="K93" s="16">
        <f t="shared" si="12"/>
        <v>9</v>
      </c>
      <c r="L93" s="16">
        <f t="shared" si="13"/>
        <v>2026</v>
      </c>
      <c r="M93" s="16">
        <f t="shared" si="14"/>
        <v>10</v>
      </c>
      <c r="N93" s="16">
        <f t="shared" si="15"/>
        <v>45</v>
      </c>
    </row>
    <row r="94" spans="1:14" ht="12.75" customHeight="1" x14ac:dyDescent="0.25">
      <c r="A94" s="22" t="s">
        <v>53</v>
      </c>
      <c r="B94" s="35" t="s">
        <v>64</v>
      </c>
      <c r="C94" s="35" t="s">
        <v>66</v>
      </c>
      <c r="D94" s="14" t="s">
        <v>41</v>
      </c>
      <c r="E94" s="14" t="s">
        <v>0</v>
      </c>
      <c r="F94" s="24">
        <v>46296</v>
      </c>
      <c r="G94" s="14" t="s">
        <v>32</v>
      </c>
      <c r="H94" s="15">
        <v>3000</v>
      </c>
      <c r="I94" s="26">
        <f t="shared" si="17"/>
        <v>46341</v>
      </c>
      <c r="J94" s="16">
        <f t="shared" si="11"/>
        <v>2026</v>
      </c>
      <c r="K94" s="16">
        <f t="shared" si="12"/>
        <v>10</v>
      </c>
      <c r="L94" s="16">
        <f t="shared" si="13"/>
        <v>2026</v>
      </c>
      <c r="M94" s="16">
        <f t="shared" si="14"/>
        <v>11</v>
      </c>
      <c r="N94" s="16">
        <f t="shared" si="15"/>
        <v>45</v>
      </c>
    </row>
    <row r="95" spans="1:14" ht="12.75" customHeight="1" x14ac:dyDescent="0.25">
      <c r="A95" s="2" t="s">
        <v>47</v>
      </c>
      <c r="B95" s="3" t="s">
        <v>64</v>
      </c>
      <c r="C95" s="3" t="s">
        <v>68</v>
      </c>
      <c r="D95" s="3" t="s">
        <v>40</v>
      </c>
      <c r="E95" s="3" t="s">
        <v>0</v>
      </c>
      <c r="F95" s="23">
        <v>45645</v>
      </c>
      <c r="G95" s="3">
        <v>6137</v>
      </c>
      <c r="H95" s="6">
        <v>50000</v>
      </c>
      <c r="I95" s="23">
        <v>45694</v>
      </c>
      <c r="J95" s="7">
        <f t="shared" si="11"/>
        <v>2024</v>
      </c>
      <c r="K95" s="7">
        <f t="shared" si="12"/>
        <v>12</v>
      </c>
      <c r="L95" s="7">
        <f t="shared" si="13"/>
        <v>2025</v>
      </c>
      <c r="M95" s="7">
        <f t="shared" si="14"/>
        <v>2</v>
      </c>
      <c r="N95" s="7">
        <f t="shared" si="15"/>
        <v>49</v>
      </c>
    </row>
    <row r="96" spans="1:14" ht="12.75" customHeight="1" x14ac:dyDescent="0.25">
      <c r="A96" s="2" t="s">
        <v>47</v>
      </c>
      <c r="B96" s="3" t="s">
        <v>64</v>
      </c>
      <c r="C96" s="3" t="s">
        <v>68</v>
      </c>
      <c r="D96" s="3" t="s">
        <v>40</v>
      </c>
      <c r="E96" s="3" t="s">
        <v>0</v>
      </c>
      <c r="F96" s="23">
        <v>45658</v>
      </c>
      <c r="G96" s="3">
        <v>6161</v>
      </c>
      <c r="H96" s="6">
        <v>31667.66</v>
      </c>
      <c r="I96" s="23">
        <v>45741</v>
      </c>
      <c r="J96" s="7">
        <f t="shared" si="11"/>
        <v>2025</v>
      </c>
      <c r="K96" s="7">
        <f t="shared" si="12"/>
        <v>1</v>
      </c>
      <c r="L96" s="7">
        <f t="shared" si="13"/>
        <v>2025</v>
      </c>
      <c r="M96" s="7">
        <f t="shared" si="14"/>
        <v>3</v>
      </c>
      <c r="N96" s="7">
        <f t="shared" si="15"/>
        <v>83</v>
      </c>
    </row>
    <row r="97" spans="1:14" ht="12.75" customHeight="1" x14ac:dyDescent="0.25">
      <c r="A97" s="2" t="s">
        <v>47</v>
      </c>
      <c r="B97" s="3" t="s">
        <v>64</v>
      </c>
      <c r="C97" s="3" t="s">
        <v>68</v>
      </c>
      <c r="D97" s="3" t="s">
        <v>40</v>
      </c>
      <c r="E97" s="3" t="s">
        <v>0</v>
      </c>
      <c r="F97" s="23">
        <v>45689</v>
      </c>
      <c r="G97" s="3">
        <v>6169</v>
      </c>
      <c r="H97" s="6">
        <v>31667.66</v>
      </c>
      <c r="I97" s="23">
        <v>45741</v>
      </c>
      <c r="J97" s="7">
        <f t="shared" si="11"/>
        <v>2025</v>
      </c>
      <c r="K97" s="7">
        <f t="shared" si="12"/>
        <v>2</v>
      </c>
      <c r="L97" s="7">
        <f t="shared" si="13"/>
        <v>2025</v>
      </c>
      <c r="M97" s="7">
        <f t="shared" si="14"/>
        <v>3</v>
      </c>
      <c r="N97" s="7">
        <f t="shared" si="15"/>
        <v>52</v>
      </c>
    </row>
    <row r="98" spans="1:14" ht="12.75" customHeight="1" x14ac:dyDescent="0.25">
      <c r="A98" s="2" t="s">
        <v>47</v>
      </c>
      <c r="B98" s="3" t="s">
        <v>64</v>
      </c>
      <c r="C98" s="3" t="s">
        <v>68</v>
      </c>
      <c r="D98" s="3" t="s">
        <v>40</v>
      </c>
      <c r="E98" s="3" t="s">
        <v>0</v>
      </c>
      <c r="F98" s="23">
        <v>45717</v>
      </c>
      <c r="G98" s="3">
        <v>6183</v>
      </c>
      <c r="H98" s="6">
        <v>31667.66</v>
      </c>
      <c r="I98" s="23">
        <v>45741</v>
      </c>
      <c r="J98" s="7">
        <f t="shared" si="11"/>
        <v>2025</v>
      </c>
      <c r="K98" s="7">
        <f t="shared" si="12"/>
        <v>3</v>
      </c>
      <c r="L98" s="7">
        <f t="shared" si="13"/>
        <v>2025</v>
      </c>
      <c r="M98" s="7">
        <f t="shared" si="14"/>
        <v>3</v>
      </c>
      <c r="N98" s="7">
        <f t="shared" si="15"/>
        <v>24</v>
      </c>
    </row>
    <row r="99" spans="1:14" ht="12.75" customHeight="1" x14ac:dyDescent="0.25">
      <c r="A99" s="2" t="s">
        <v>47</v>
      </c>
      <c r="B99" s="3" t="s">
        <v>64</v>
      </c>
      <c r="C99" s="3" t="s">
        <v>68</v>
      </c>
      <c r="D99" s="3" t="s">
        <v>40</v>
      </c>
      <c r="E99" s="3" t="s">
        <v>0</v>
      </c>
      <c r="F99" s="23">
        <v>45747</v>
      </c>
      <c r="G99" s="3">
        <v>6184</v>
      </c>
      <c r="H99" s="6">
        <v>29995</v>
      </c>
      <c r="I99" s="23">
        <v>45741</v>
      </c>
      <c r="J99" s="7">
        <f t="shared" si="11"/>
        <v>2025</v>
      </c>
      <c r="K99" s="7">
        <f t="shared" si="12"/>
        <v>3</v>
      </c>
      <c r="L99" s="7">
        <f t="shared" si="13"/>
        <v>2025</v>
      </c>
      <c r="M99" s="7">
        <f t="shared" si="14"/>
        <v>3</v>
      </c>
      <c r="N99" s="7">
        <f t="shared" si="15"/>
        <v>-6</v>
      </c>
    </row>
    <row r="100" spans="1:14" ht="12.75" customHeight="1" x14ac:dyDescent="0.25">
      <c r="A100" s="2" t="s">
        <v>48</v>
      </c>
      <c r="B100" s="3" t="s">
        <v>64</v>
      </c>
      <c r="C100" s="3" t="s">
        <v>68</v>
      </c>
      <c r="D100" s="3" t="s">
        <v>40</v>
      </c>
      <c r="E100" s="3" t="s">
        <v>0</v>
      </c>
      <c r="F100" s="23">
        <v>45716</v>
      </c>
      <c r="G100" s="3">
        <v>6177</v>
      </c>
      <c r="H100" s="6">
        <v>1295</v>
      </c>
      <c r="I100" s="23">
        <v>45741</v>
      </c>
      <c r="J100" s="7">
        <f t="shared" si="11"/>
        <v>2025</v>
      </c>
      <c r="K100" s="7">
        <f t="shared" si="12"/>
        <v>2</v>
      </c>
      <c r="L100" s="7">
        <f t="shared" si="13"/>
        <v>2025</v>
      </c>
      <c r="M100" s="7">
        <f t="shared" si="14"/>
        <v>3</v>
      </c>
      <c r="N100" s="7">
        <f t="shared" si="15"/>
        <v>25</v>
      </c>
    </row>
    <row r="101" spans="1:14" ht="12.75" customHeight="1" x14ac:dyDescent="0.25">
      <c r="A101" s="2" t="s">
        <v>48</v>
      </c>
      <c r="B101" s="3" t="s">
        <v>64</v>
      </c>
      <c r="C101" s="3" t="s">
        <v>68</v>
      </c>
      <c r="D101" s="3" t="s">
        <v>40</v>
      </c>
      <c r="E101" s="3" t="s">
        <v>0</v>
      </c>
      <c r="F101" s="23">
        <v>45747</v>
      </c>
      <c r="G101" s="3">
        <v>6194</v>
      </c>
      <c r="H101" s="6">
        <v>11377.5</v>
      </c>
      <c r="I101" s="23">
        <v>45762</v>
      </c>
      <c r="J101" s="7">
        <f t="shared" si="11"/>
        <v>2025</v>
      </c>
      <c r="K101" s="7">
        <f t="shared" si="12"/>
        <v>3</v>
      </c>
      <c r="L101" s="7">
        <f t="shared" si="13"/>
        <v>2025</v>
      </c>
      <c r="M101" s="7">
        <f t="shared" si="14"/>
        <v>4</v>
      </c>
      <c r="N101" s="7">
        <f t="shared" si="15"/>
        <v>15</v>
      </c>
    </row>
    <row r="102" spans="1:14" ht="12.75" customHeight="1" x14ac:dyDescent="0.25">
      <c r="A102" s="2" t="s">
        <v>48</v>
      </c>
      <c r="B102" s="3" t="s">
        <v>64</v>
      </c>
      <c r="C102" s="3" t="s">
        <v>68</v>
      </c>
      <c r="D102" s="3" t="s">
        <v>40</v>
      </c>
      <c r="E102" s="3" t="s">
        <v>0</v>
      </c>
      <c r="F102" s="23">
        <v>45777</v>
      </c>
      <c r="G102" s="3">
        <v>6208</v>
      </c>
      <c r="H102" s="6">
        <v>27472.5</v>
      </c>
      <c r="I102" s="23">
        <v>45812</v>
      </c>
      <c r="J102" s="7">
        <f t="shared" si="11"/>
        <v>2025</v>
      </c>
      <c r="K102" s="7">
        <f t="shared" si="12"/>
        <v>4</v>
      </c>
      <c r="L102" s="7">
        <f t="shared" si="13"/>
        <v>2025</v>
      </c>
      <c r="M102" s="7">
        <f t="shared" si="14"/>
        <v>6</v>
      </c>
      <c r="N102" s="7">
        <f t="shared" si="15"/>
        <v>35</v>
      </c>
    </row>
    <row r="103" spans="1:14" ht="12.75" customHeight="1" x14ac:dyDescent="0.25">
      <c r="A103" s="2" t="s">
        <v>48</v>
      </c>
      <c r="B103" s="3" t="s">
        <v>64</v>
      </c>
      <c r="C103" s="3" t="s">
        <v>68</v>
      </c>
      <c r="D103" s="3" t="s">
        <v>40</v>
      </c>
      <c r="E103" s="3" t="s">
        <v>0</v>
      </c>
      <c r="F103" s="23">
        <v>45808</v>
      </c>
      <c r="G103" s="3">
        <v>6221</v>
      </c>
      <c r="H103" s="6">
        <v>2855</v>
      </c>
      <c r="I103" s="23">
        <v>45826</v>
      </c>
      <c r="J103" s="7">
        <f t="shared" si="11"/>
        <v>2025</v>
      </c>
      <c r="K103" s="7">
        <f t="shared" si="12"/>
        <v>5</v>
      </c>
      <c r="L103" s="7">
        <f t="shared" si="13"/>
        <v>2025</v>
      </c>
      <c r="M103" s="7">
        <f t="shared" si="14"/>
        <v>6</v>
      </c>
      <c r="N103" s="7">
        <f t="shared" si="15"/>
        <v>18</v>
      </c>
    </row>
    <row r="104" spans="1:14" ht="12.75" customHeight="1" x14ac:dyDescent="0.25">
      <c r="A104" s="2" t="s">
        <v>49</v>
      </c>
      <c r="B104" s="3" t="s">
        <v>64</v>
      </c>
      <c r="C104" s="3" t="s">
        <v>68</v>
      </c>
      <c r="D104" s="3" t="s">
        <v>40</v>
      </c>
      <c r="E104" s="3" t="s">
        <v>0</v>
      </c>
      <c r="F104" s="23">
        <v>45931</v>
      </c>
      <c r="G104" s="3">
        <v>6291</v>
      </c>
      <c r="H104" s="6">
        <v>3250</v>
      </c>
      <c r="I104" s="23">
        <v>45987</v>
      </c>
      <c r="J104" s="7">
        <f t="shared" si="11"/>
        <v>2025</v>
      </c>
      <c r="K104" s="7">
        <f t="shared" si="12"/>
        <v>10</v>
      </c>
      <c r="L104" s="7">
        <f t="shared" si="13"/>
        <v>2025</v>
      </c>
      <c r="M104" s="7">
        <f t="shared" si="14"/>
        <v>11</v>
      </c>
      <c r="N104" s="7">
        <f t="shared" si="15"/>
        <v>56</v>
      </c>
    </row>
    <row r="105" spans="1:14" ht="12.75" customHeight="1" x14ac:dyDescent="0.25">
      <c r="A105" s="2" t="s">
        <v>49</v>
      </c>
      <c r="B105" s="3" t="s">
        <v>64</v>
      </c>
      <c r="C105" s="3" t="s">
        <v>68</v>
      </c>
      <c r="D105" s="3" t="s">
        <v>40</v>
      </c>
      <c r="E105" s="3" t="s">
        <v>0</v>
      </c>
      <c r="F105" s="23">
        <v>45961</v>
      </c>
      <c r="G105" s="3">
        <v>6303</v>
      </c>
      <c r="H105" s="6">
        <v>14750</v>
      </c>
      <c r="I105" s="23">
        <v>45994</v>
      </c>
      <c r="J105" s="7">
        <f t="shared" si="11"/>
        <v>2025</v>
      </c>
      <c r="K105" s="7">
        <f t="shared" si="12"/>
        <v>10</v>
      </c>
      <c r="L105" s="7">
        <f t="shared" si="13"/>
        <v>2025</v>
      </c>
      <c r="M105" s="7">
        <f t="shared" si="14"/>
        <v>12</v>
      </c>
      <c r="N105" s="7">
        <f t="shared" si="15"/>
        <v>33</v>
      </c>
    </row>
    <row r="106" spans="1:14" ht="12.75" customHeight="1" x14ac:dyDescent="0.25">
      <c r="A106" s="2" t="s">
        <v>49</v>
      </c>
      <c r="B106" s="3" t="s">
        <v>64</v>
      </c>
      <c r="C106" s="3" t="s">
        <v>68</v>
      </c>
      <c r="D106" s="3" t="s">
        <v>40</v>
      </c>
      <c r="E106" s="3" t="s">
        <v>0</v>
      </c>
      <c r="F106" s="23">
        <v>45962</v>
      </c>
      <c r="G106" s="3">
        <v>6292</v>
      </c>
      <c r="H106" s="6">
        <v>3250</v>
      </c>
      <c r="I106" s="23">
        <v>45994</v>
      </c>
      <c r="J106" s="7">
        <f t="shared" si="11"/>
        <v>2025</v>
      </c>
      <c r="K106" s="7">
        <f t="shared" si="12"/>
        <v>11</v>
      </c>
      <c r="L106" s="7">
        <f t="shared" si="13"/>
        <v>2025</v>
      </c>
      <c r="M106" s="7">
        <f t="shared" si="14"/>
        <v>12</v>
      </c>
      <c r="N106" s="7">
        <f t="shared" si="15"/>
        <v>32</v>
      </c>
    </row>
    <row r="107" spans="1:14" ht="12.75" customHeight="1" x14ac:dyDescent="0.25">
      <c r="A107" s="2" t="s">
        <v>49</v>
      </c>
      <c r="B107" s="3" t="s">
        <v>64</v>
      </c>
      <c r="C107" s="3" t="s">
        <v>68</v>
      </c>
      <c r="D107" s="3" t="s">
        <v>40</v>
      </c>
      <c r="E107" s="3" t="s">
        <v>0</v>
      </c>
      <c r="F107" s="23">
        <v>45992</v>
      </c>
      <c r="G107" s="3">
        <v>6310</v>
      </c>
      <c r="H107" s="6">
        <v>3250</v>
      </c>
      <c r="I107" s="23">
        <v>46022</v>
      </c>
      <c r="J107" s="7">
        <f t="shared" si="11"/>
        <v>2025</v>
      </c>
      <c r="K107" s="7">
        <f t="shared" si="12"/>
        <v>12</v>
      </c>
      <c r="L107" s="7">
        <f t="shared" si="13"/>
        <v>2025</v>
      </c>
      <c r="M107" s="7">
        <f t="shared" si="14"/>
        <v>12</v>
      </c>
      <c r="N107" s="7">
        <f t="shared" si="15"/>
        <v>30</v>
      </c>
    </row>
    <row r="108" spans="1:14" ht="12.75" customHeight="1" x14ac:dyDescent="0.25">
      <c r="A108" s="2" t="s">
        <v>49</v>
      </c>
      <c r="B108" s="3" t="s">
        <v>64</v>
      </c>
      <c r="C108" s="3" t="s">
        <v>68</v>
      </c>
      <c r="D108" s="3" t="s">
        <v>40</v>
      </c>
      <c r="E108" s="3" t="s">
        <v>0</v>
      </c>
      <c r="F108" s="23">
        <v>45991</v>
      </c>
      <c r="G108" s="3">
        <v>6322</v>
      </c>
      <c r="H108" s="6">
        <v>32167.31</v>
      </c>
      <c r="I108" s="23">
        <v>46022</v>
      </c>
      <c r="J108" s="7">
        <f t="shared" si="11"/>
        <v>2025</v>
      </c>
      <c r="K108" s="7">
        <f t="shared" si="12"/>
        <v>11</v>
      </c>
      <c r="L108" s="7">
        <f t="shared" si="13"/>
        <v>2025</v>
      </c>
      <c r="M108" s="7">
        <f t="shared" si="14"/>
        <v>12</v>
      </c>
      <c r="N108" s="7">
        <f t="shared" si="15"/>
        <v>31</v>
      </c>
    </row>
    <row r="109" spans="1:14" ht="12.75" customHeight="1" x14ac:dyDescent="0.25">
      <c r="A109" s="2" t="s">
        <v>49</v>
      </c>
      <c r="B109" s="3" t="s">
        <v>64</v>
      </c>
      <c r="C109" s="3" t="s">
        <v>68</v>
      </c>
      <c r="D109" s="3" t="s">
        <v>40</v>
      </c>
      <c r="E109" s="3" t="s">
        <v>0</v>
      </c>
      <c r="F109" s="23">
        <v>46022</v>
      </c>
      <c r="G109" s="3">
        <v>6341</v>
      </c>
      <c r="H109" s="6">
        <v>20000.400000000001</v>
      </c>
      <c r="I109" s="26">
        <f t="shared" ref="I109:I113" si="18">+F109+45</f>
        <v>46067</v>
      </c>
      <c r="J109" s="7">
        <f t="shared" si="11"/>
        <v>2025</v>
      </c>
      <c r="K109" s="7">
        <f t="shared" si="12"/>
        <v>12</v>
      </c>
      <c r="L109" s="7">
        <f t="shared" si="13"/>
        <v>2026</v>
      </c>
      <c r="M109" s="7">
        <f t="shared" si="14"/>
        <v>2</v>
      </c>
      <c r="N109" s="7">
        <f t="shared" si="15"/>
        <v>45</v>
      </c>
    </row>
    <row r="110" spans="1:14" ht="12.75" customHeight="1" x14ac:dyDescent="0.25">
      <c r="A110" s="2" t="s">
        <v>49</v>
      </c>
      <c r="B110" s="3" t="s">
        <v>64</v>
      </c>
      <c r="C110" s="3" t="s">
        <v>68</v>
      </c>
      <c r="D110" s="3" t="s">
        <v>40</v>
      </c>
      <c r="E110" s="3" t="s">
        <v>0</v>
      </c>
      <c r="F110" s="23">
        <v>46023</v>
      </c>
      <c r="G110" s="3">
        <v>6330</v>
      </c>
      <c r="H110" s="6">
        <v>3250</v>
      </c>
      <c r="I110" s="26">
        <f t="shared" si="18"/>
        <v>46068</v>
      </c>
      <c r="J110" s="7">
        <f t="shared" si="11"/>
        <v>2026</v>
      </c>
      <c r="K110" s="7">
        <f t="shared" si="12"/>
        <v>1</v>
      </c>
      <c r="L110" s="7">
        <f t="shared" si="13"/>
        <v>2026</v>
      </c>
      <c r="M110" s="7">
        <f t="shared" si="14"/>
        <v>2</v>
      </c>
      <c r="N110" s="7">
        <f t="shared" si="15"/>
        <v>45</v>
      </c>
    </row>
    <row r="111" spans="1:14" ht="12.75" customHeight="1" x14ac:dyDescent="0.25">
      <c r="A111" s="13" t="s">
        <v>49</v>
      </c>
      <c r="B111" s="14" t="s">
        <v>64</v>
      </c>
      <c r="C111" s="14" t="s">
        <v>68</v>
      </c>
      <c r="D111" s="14" t="s">
        <v>41</v>
      </c>
      <c r="E111" s="14" t="s">
        <v>0</v>
      </c>
      <c r="F111" s="24">
        <v>46053</v>
      </c>
      <c r="G111" s="14" t="s">
        <v>32</v>
      </c>
      <c r="H111" s="15">
        <v>10000</v>
      </c>
      <c r="I111" s="26">
        <f t="shared" ref="I111" si="19">+F111+45</f>
        <v>46098</v>
      </c>
      <c r="J111" s="16">
        <f t="shared" si="11"/>
        <v>2026</v>
      </c>
      <c r="K111" s="16">
        <f t="shared" si="12"/>
        <v>1</v>
      </c>
      <c r="L111" s="16">
        <f t="shared" si="13"/>
        <v>2026</v>
      </c>
      <c r="M111" s="16">
        <f t="shared" si="14"/>
        <v>3</v>
      </c>
      <c r="N111" s="16">
        <f t="shared" si="15"/>
        <v>45</v>
      </c>
    </row>
    <row r="112" spans="1:14" ht="12.75" customHeight="1" x14ac:dyDescent="0.25">
      <c r="A112" s="13" t="s">
        <v>49</v>
      </c>
      <c r="B112" s="14" t="s">
        <v>64</v>
      </c>
      <c r="C112" s="14" t="s">
        <v>68</v>
      </c>
      <c r="D112" s="14" t="s">
        <v>41</v>
      </c>
      <c r="E112" s="14" t="s">
        <v>0</v>
      </c>
      <c r="F112" s="24">
        <v>46054</v>
      </c>
      <c r="G112" s="14" t="s">
        <v>32</v>
      </c>
      <c r="H112" s="15">
        <v>3250</v>
      </c>
      <c r="I112" s="26">
        <f t="shared" si="18"/>
        <v>46099</v>
      </c>
      <c r="J112" s="16">
        <f t="shared" si="11"/>
        <v>2026</v>
      </c>
      <c r="K112" s="16">
        <f t="shared" si="12"/>
        <v>2</v>
      </c>
      <c r="L112" s="16">
        <f t="shared" si="13"/>
        <v>2026</v>
      </c>
      <c r="M112" s="16">
        <f t="shared" si="14"/>
        <v>3</v>
      </c>
      <c r="N112" s="16">
        <f t="shared" si="15"/>
        <v>45</v>
      </c>
    </row>
    <row r="113" spans="1:17" ht="12.75" customHeight="1" x14ac:dyDescent="0.25">
      <c r="A113" s="13" t="s">
        <v>49</v>
      </c>
      <c r="B113" s="14" t="s">
        <v>64</v>
      </c>
      <c r="C113" s="14" t="s">
        <v>68</v>
      </c>
      <c r="D113" s="14" t="s">
        <v>41</v>
      </c>
      <c r="E113" s="14" t="s">
        <v>0</v>
      </c>
      <c r="F113" s="24">
        <v>46082</v>
      </c>
      <c r="G113" s="14" t="s">
        <v>32</v>
      </c>
      <c r="H113" s="15">
        <v>3250</v>
      </c>
      <c r="I113" s="26">
        <f t="shared" si="18"/>
        <v>46127</v>
      </c>
      <c r="J113" s="16">
        <f t="shared" si="11"/>
        <v>2026</v>
      </c>
      <c r="K113" s="16">
        <f t="shared" si="12"/>
        <v>3</v>
      </c>
      <c r="L113" s="16">
        <f t="shared" si="13"/>
        <v>2026</v>
      </c>
      <c r="M113" s="16">
        <f t="shared" si="14"/>
        <v>4</v>
      </c>
      <c r="N113" s="16">
        <f t="shared" si="15"/>
        <v>45</v>
      </c>
    </row>
    <row r="114" spans="1:17" ht="12.75" customHeight="1" x14ac:dyDescent="0.25">
      <c r="A114" s="2" t="s">
        <v>100</v>
      </c>
      <c r="B114" s="3" t="s">
        <v>64</v>
      </c>
      <c r="C114" s="3" t="s">
        <v>68</v>
      </c>
      <c r="D114" s="3" t="s">
        <v>40</v>
      </c>
      <c r="E114" s="3" t="s">
        <v>0</v>
      </c>
      <c r="F114" s="23">
        <v>46006</v>
      </c>
      <c r="G114" s="3">
        <v>6327</v>
      </c>
      <c r="H114" s="6">
        <v>509236</v>
      </c>
      <c r="I114" s="26">
        <f>+F114+30</f>
        <v>46036</v>
      </c>
      <c r="J114" s="7">
        <f t="shared" si="11"/>
        <v>2025</v>
      </c>
      <c r="K114" s="7">
        <f t="shared" si="12"/>
        <v>12</v>
      </c>
      <c r="L114" s="7">
        <f t="shared" si="13"/>
        <v>2026</v>
      </c>
      <c r="M114" s="7">
        <f t="shared" si="14"/>
        <v>1</v>
      </c>
      <c r="N114" s="7">
        <f t="shared" si="15"/>
        <v>30</v>
      </c>
    </row>
    <row r="115" spans="1:17" ht="12.75" customHeight="1" x14ac:dyDescent="0.25">
      <c r="A115" s="13" t="s">
        <v>100</v>
      </c>
      <c r="B115" s="14" t="s">
        <v>64</v>
      </c>
      <c r="C115" s="14" t="s">
        <v>68</v>
      </c>
      <c r="D115" s="14" t="s">
        <v>41</v>
      </c>
      <c r="E115" s="14" t="s">
        <v>0</v>
      </c>
      <c r="F115" s="24">
        <v>46053</v>
      </c>
      <c r="G115" s="14" t="s">
        <v>32</v>
      </c>
      <c r="H115" s="15">
        <v>0</v>
      </c>
      <c r="I115" s="26">
        <f>+F115+10</f>
        <v>46063</v>
      </c>
      <c r="J115" s="16">
        <f t="shared" si="11"/>
        <v>2026</v>
      </c>
      <c r="K115" s="16">
        <f t="shared" si="12"/>
        <v>1</v>
      </c>
      <c r="L115" s="16">
        <f t="shared" si="13"/>
        <v>2026</v>
      </c>
      <c r="M115" s="16">
        <f t="shared" si="14"/>
        <v>2</v>
      </c>
      <c r="N115" s="16">
        <f t="shared" si="15"/>
        <v>10</v>
      </c>
    </row>
    <row r="116" spans="1:17" ht="12.75" customHeight="1" x14ac:dyDescent="0.25">
      <c r="A116" s="2" t="s">
        <v>15</v>
      </c>
      <c r="B116" s="3" t="s">
        <v>61</v>
      </c>
      <c r="C116" s="3" t="s">
        <v>62</v>
      </c>
      <c r="D116" s="3" t="s">
        <v>40</v>
      </c>
      <c r="E116" s="3" t="s">
        <v>0</v>
      </c>
      <c r="F116" s="23">
        <v>45809</v>
      </c>
      <c r="G116" s="3">
        <v>6220</v>
      </c>
      <c r="H116" s="6">
        <v>34500</v>
      </c>
      <c r="I116" s="23">
        <v>45846</v>
      </c>
      <c r="J116" s="7">
        <f t="shared" si="11"/>
        <v>2025</v>
      </c>
      <c r="K116" s="7">
        <f t="shared" si="12"/>
        <v>6</v>
      </c>
      <c r="L116" s="7">
        <f t="shared" si="13"/>
        <v>2025</v>
      </c>
      <c r="M116" s="7">
        <f t="shared" si="14"/>
        <v>7</v>
      </c>
      <c r="N116" s="7">
        <f t="shared" si="15"/>
        <v>37</v>
      </c>
    </row>
    <row r="117" spans="1:17" ht="12.75" customHeight="1" x14ac:dyDescent="0.25">
      <c r="A117" s="2" t="s">
        <v>15</v>
      </c>
      <c r="B117" s="3" t="s">
        <v>61</v>
      </c>
      <c r="C117" s="3" t="s">
        <v>62</v>
      </c>
      <c r="D117" s="3" t="s">
        <v>40</v>
      </c>
      <c r="E117" s="3" t="s">
        <v>0</v>
      </c>
      <c r="F117" s="23">
        <v>45838</v>
      </c>
      <c r="G117" s="3">
        <v>6242</v>
      </c>
      <c r="H117" s="6">
        <v>17500</v>
      </c>
      <c r="I117" s="23">
        <v>45930</v>
      </c>
      <c r="J117" s="7">
        <f t="shared" si="11"/>
        <v>2025</v>
      </c>
      <c r="K117" s="7">
        <f t="shared" si="12"/>
        <v>6</v>
      </c>
      <c r="L117" s="7">
        <f t="shared" si="13"/>
        <v>2025</v>
      </c>
      <c r="M117" s="7">
        <f t="shared" si="14"/>
        <v>9</v>
      </c>
      <c r="N117" s="7">
        <f t="shared" si="15"/>
        <v>92</v>
      </c>
      <c r="Q117" s="6"/>
    </row>
    <row r="118" spans="1:17" ht="12.75" customHeight="1" x14ac:dyDescent="0.25">
      <c r="A118" s="2" t="s">
        <v>15</v>
      </c>
      <c r="B118" s="3" t="s">
        <v>61</v>
      </c>
      <c r="C118" s="3" t="s">
        <v>62</v>
      </c>
      <c r="D118" s="3" t="s">
        <v>40</v>
      </c>
      <c r="E118" s="3" t="s">
        <v>0</v>
      </c>
      <c r="F118" s="23">
        <v>45869</v>
      </c>
      <c r="G118" s="3">
        <v>6255</v>
      </c>
      <c r="H118" s="6">
        <v>17500</v>
      </c>
      <c r="I118" s="23">
        <v>45968</v>
      </c>
      <c r="J118" s="7">
        <f t="shared" si="11"/>
        <v>2025</v>
      </c>
      <c r="K118" s="7">
        <f t="shared" si="12"/>
        <v>7</v>
      </c>
      <c r="L118" s="7">
        <f t="shared" si="13"/>
        <v>2025</v>
      </c>
      <c r="M118" s="7">
        <f t="shared" si="14"/>
        <v>11</v>
      </c>
      <c r="N118" s="7">
        <f t="shared" si="15"/>
        <v>99</v>
      </c>
    </row>
    <row r="119" spans="1:17" ht="12.75" customHeight="1" x14ac:dyDescent="0.25">
      <c r="A119" s="2" t="s">
        <v>14</v>
      </c>
      <c r="B119" s="3" t="s">
        <v>61</v>
      </c>
      <c r="C119" s="3" t="s">
        <v>62</v>
      </c>
      <c r="D119" s="3" t="s">
        <v>40</v>
      </c>
      <c r="E119" s="3" t="s">
        <v>0</v>
      </c>
      <c r="F119" s="23">
        <v>45809</v>
      </c>
      <c r="G119" s="3">
        <v>6219</v>
      </c>
      <c r="H119" s="6">
        <v>10000</v>
      </c>
      <c r="I119" s="23">
        <v>45846</v>
      </c>
      <c r="J119" s="7">
        <f t="shared" si="11"/>
        <v>2025</v>
      </c>
      <c r="K119" s="7">
        <f t="shared" si="12"/>
        <v>6</v>
      </c>
      <c r="L119" s="7">
        <f t="shared" si="13"/>
        <v>2025</v>
      </c>
      <c r="M119" s="7">
        <f t="shared" si="14"/>
        <v>7</v>
      </c>
      <c r="N119" s="7">
        <f t="shared" si="15"/>
        <v>37</v>
      </c>
    </row>
    <row r="120" spans="1:17" ht="12.75" customHeight="1" x14ac:dyDescent="0.25">
      <c r="A120" s="2" t="s">
        <v>14</v>
      </c>
      <c r="B120" s="3" t="s">
        <v>61</v>
      </c>
      <c r="C120" s="3" t="s">
        <v>62</v>
      </c>
      <c r="D120" s="3" t="s">
        <v>40</v>
      </c>
      <c r="E120" s="3" t="s">
        <v>0</v>
      </c>
      <c r="F120" s="23">
        <v>45839</v>
      </c>
      <c r="G120" s="3">
        <v>6229</v>
      </c>
      <c r="H120" s="6">
        <v>10000</v>
      </c>
      <c r="I120" s="23">
        <v>45930</v>
      </c>
      <c r="J120" s="7">
        <f t="shared" si="11"/>
        <v>2025</v>
      </c>
      <c r="K120" s="7">
        <f t="shared" si="12"/>
        <v>7</v>
      </c>
      <c r="L120" s="7">
        <f t="shared" si="13"/>
        <v>2025</v>
      </c>
      <c r="M120" s="7">
        <f t="shared" si="14"/>
        <v>9</v>
      </c>
      <c r="N120" s="7">
        <f t="shared" si="15"/>
        <v>91</v>
      </c>
    </row>
    <row r="121" spans="1:17" ht="12.75" customHeight="1" x14ac:dyDescent="0.25">
      <c r="A121" s="2" t="s">
        <v>14</v>
      </c>
      <c r="B121" s="3" t="s">
        <v>61</v>
      </c>
      <c r="C121" s="3" t="s">
        <v>62</v>
      </c>
      <c r="D121" s="3" t="s">
        <v>40</v>
      </c>
      <c r="E121" s="3" t="s">
        <v>0</v>
      </c>
      <c r="F121" s="23">
        <v>45870</v>
      </c>
      <c r="G121" s="3">
        <v>6246</v>
      </c>
      <c r="H121" s="6">
        <v>10000</v>
      </c>
      <c r="I121" s="23">
        <v>45968</v>
      </c>
      <c r="J121" s="7">
        <f t="shared" si="11"/>
        <v>2025</v>
      </c>
      <c r="K121" s="7">
        <f t="shared" si="12"/>
        <v>8</v>
      </c>
      <c r="L121" s="7">
        <f t="shared" si="13"/>
        <v>2025</v>
      </c>
      <c r="M121" s="7">
        <f t="shared" si="14"/>
        <v>11</v>
      </c>
      <c r="N121" s="7">
        <f t="shared" si="15"/>
        <v>98</v>
      </c>
    </row>
    <row r="122" spans="1:17" ht="12.75" customHeight="1" x14ac:dyDescent="0.25">
      <c r="A122" s="2" t="s">
        <v>14</v>
      </c>
      <c r="B122" s="3" t="s">
        <v>61</v>
      </c>
      <c r="C122" s="3" t="s">
        <v>62</v>
      </c>
      <c r="D122" s="3" t="s">
        <v>40</v>
      </c>
      <c r="E122" s="3" t="s">
        <v>0</v>
      </c>
      <c r="F122" s="23">
        <v>45901</v>
      </c>
      <c r="G122" s="3">
        <v>6264</v>
      </c>
      <c r="H122" s="6">
        <v>10000</v>
      </c>
      <c r="I122" s="23">
        <v>45968</v>
      </c>
      <c r="J122" s="7">
        <f t="shared" si="11"/>
        <v>2025</v>
      </c>
      <c r="K122" s="7">
        <f t="shared" si="12"/>
        <v>9</v>
      </c>
      <c r="L122" s="7">
        <f t="shared" si="13"/>
        <v>2025</v>
      </c>
      <c r="M122" s="7">
        <f t="shared" si="14"/>
        <v>11</v>
      </c>
      <c r="N122" s="7">
        <f t="shared" si="15"/>
        <v>67</v>
      </c>
    </row>
    <row r="123" spans="1:17" ht="12.75" customHeight="1" x14ac:dyDescent="0.25">
      <c r="A123" s="2" t="s">
        <v>14</v>
      </c>
      <c r="B123" s="3" t="s">
        <v>61</v>
      </c>
      <c r="C123" s="3" t="s">
        <v>62</v>
      </c>
      <c r="D123" s="3" t="s">
        <v>40</v>
      </c>
      <c r="E123" s="3" t="s">
        <v>0</v>
      </c>
      <c r="F123" s="23">
        <v>45931</v>
      </c>
      <c r="G123" s="3">
        <v>6277</v>
      </c>
      <c r="H123" s="6">
        <v>10000</v>
      </c>
      <c r="I123" s="23">
        <v>46009</v>
      </c>
      <c r="J123" s="7">
        <f t="shared" si="11"/>
        <v>2025</v>
      </c>
      <c r="K123" s="7">
        <f t="shared" si="12"/>
        <v>10</v>
      </c>
      <c r="L123" s="7">
        <f t="shared" si="13"/>
        <v>2025</v>
      </c>
      <c r="M123" s="7">
        <f t="shared" si="14"/>
        <v>12</v>
      </c>
      <c r="N123" s="7">
        <f t="shared" si="15"/>
        <v>78</v>
      </c>
    </row>
    <row r="124" spans="1:17" ht="12.75" customHeight="1" x14ac:dyDescent="0.25">
      <c r="A124" s="2" t="s">
        <v>14</v>
      </c>
      <c r="B124" s="3" t="s">
        <v>61</v>
      </c>
      <c r="C124" s="3" t="s">
        <v>62</v>
      </c>
      <c r="D124" s="3" t="s">
        <v>40</v>
      </c>
      <c r="E124" s="3" t="s">
        <v>0</v>
      </c>
      <c r="F124" s="23">
        <v>45962</v>
      </c>
      <c r="G124" s="3">
        <v>6294</v>
      </c>
      <c r="H124" s="6">
        <v>10000</v>
      </c>
      <c r="I124" s="23">
        <v>46009</v>
      </c>
      <c r="J124" s="7">
        <f t="shared" si="11"/>
        <v>2025</v>
      </c>
      <c r="K124" s="7">
        <f t="shared" si="12"/>
        <v>11</v>
      </c>
      <c r="L124" s="7">
        <f t="shared" si="13"/>
        <v>2025</v>
      </c>
      <c r="M124" s="7">
        <f t="shared" si="14"/>
        <v>12</v>
      </c>
      <c r="N124" s="7">
        <f t="shared" si="15"/>
        <v>47</v>
      </c>
    </row>
    <row r="125" spans="1:17" ht="12.75" customHeight="1" x14ac:dyDescent="0.25">
      <c r="A125" s="2" t="s">
        <v>14</v>
      </c>
      <c r="B125" s="3" t="s">
        <v>61</v>
      </c>
      <c r="C125" s="3" t="s">
        <v>62</v>
      </c>
      <c r="D125" s="3" t="s">
        <v>40</v>
      </c>
      <c r="E125" s="3" t="s">
        <v>0</v>
      </c>
      <c r="F125" s="23">
        <v>45992</v>
      </c>
      <c r="G125" s="3">
        <v>6312</v>
      </c>
      <c r="H125" s="6">
        <v>10000</v>
      </c>
      <c r="I125" s="23">
        <v>46009</v>
      </c>
      <c r="J125" s="7">
        <f t="shared" si="11"/>
        <v>2025</v>
      </c>
      <c r="K125" s="7">
        <f t="shared" si="12"/>
        <v>12</v>
      </c>
      <c r="L125" s="7">
        <f t="shared" si="13"/>
        <v>2025</v>
      </c>
      <c r="M125" s="7">
        <f t="shared" si="14"/>
        <v>12</v>
      </c>
      <c r="N125" s="7">
        <f t="shared" si="15"/>
        <v>17</v>
      </c>
    </row>
    <row r="126" spans="1:17" ht="12.75" customHeight="1" x14ac:dyDescent="0.25">
      <c r="A126" s="2" t="s">
        <v>14</v>
      </c>
      <c r="B126" s="3" t="s">
        <v>61</v>
      </c>
      <c r="C126" s="3" t="s">
        <v>62</v>
      </c>
      <c r="D126" s="3" t="s">
        <v>40</v>
      </c>
      <c r="E126" s="3" t="s">
        <v>0</v>
      </c>
      <c r="F126" s="23">
        <v>46023</v>
      </c>
      <c r="G126" s="3">
        <v>6332</v>
      </c>
      <c r="H126" s="6">
        <v>10000</v>
      </c>
      <c r="I126" s="26">
        <f t="shared" ref="I126:I137" si="20">+F126+45</f>
        <v>46068</v>
      </c>
      <c r="J126" s="7">
        <f t="shared" si="11"/>
        <v>2026</v>
      </c>
      <c r="K126" s="7">
        <f t="shared" si="12"/>
        <v>1</v>
      </c>
      <c r="L126" s="7">
        <f t="shared" si="13"/>
        <v>2026</v>
      </c>
      <c r="M126" s="7">
        <f t="shared" si="14"/>
        <v>2</v>
      </c>
      <c r="N126" s="7">
        <f t="shared" si="15"/>
        <v>45</v>
      </c>
    </row>
    <row r="127" spans="1:17" ht="12.75" customHeight="1" x14ac:dyDescent="0.25">
      <c r="A127" s="13" t="s">
        <v>14</v>
      </c>
      <c r="B127" s="14" t="s">
        <v>61</v>
      </c>
      <c r="C127" s="14" t="s">
        <v>62</v>
      </c>
      <c r="D127" s="14" t="s">
        <v>41</v>
      </c>
      <c r="E127" s="14" t="s">
        <v>0</v>
      </c>
      <c r="F127" s="24">
        <v>46054</v>
      </c>
      <c r="G127" s="14" t="s">
        <v>32</v>
      </c>
      <c r="H127" s="15">
        <v>10000</v>
      </c>
      <c r="I127" s="26">
        <f t="shared" si="20"/>
        <v>46099</v>
      </c>
      <c r="J127" s="16">
        <f t="shared" si="11"/>
        <v>2026</v>
      </c>
      <c r="K127" s="16">
        <f t="shared" si="12"/>
        <v>2</v>
      </c>
      <c r="L127" s="16">
        <f t="shared" si="13"/>
        <v>2026</v>
      </c>
      <c r="M127" s="16">
        <f t="shared" si="14"/>
        <v>3</v>
      </c>
      <c r="N127" s="16">
        <f t="shared" si="15"/>
        <v>45</v>
      </c>
    </row>
    <row r="128" spans="1:17" ht="12.75" customHeight="1" x14ac:dyDescent="0.25">
      <c r="A128" s="13" t="s">
        <v>14</v>
      </c>
      <c r="B128" s="14" t="s">
        <v>61</v>
      </c>
      <c r="C128" s="14" t="s">
        <v>62</v>
      </c>
      <c r="D128" s="14" t="s">
        <v>41</v>
      </c>
      <c r="E128" s="14" t="s">
        <v>0</v>
      </c>
      <c r="F128" s="24">
        <v>46082</v>
      </c>
      <c r="G128" s="14" t="s">
        <v>32</v>
      </c>
      <c r="H128" s="15">
        <v>10000</v>
      </c>
      <c r="I128" s="26">
        <f t="shared" si="20"/>
        <v>46127</v>
      </c>
      <c r="J128" s="16">
        <f t="shared" si="11"/>
        <v>2026</v>
      </c>
      <c r="K128" s="16">
        <f t="shared" si="12"/>
        <v>3</v>
      </c>
      <c r="L128" s="16">
        <f t="shared" si="13"/>
        <v>2026</v>
      </c>
      <c r="M128" s="16">
        <f t="shared" si="14"/>
        <v>4</v>
      </c>
      <c r="N128" s="16">
        <f t="shared" si="15"/>
        <v>45</v>
      </c>
    </row>
    <row r="129" spans="1:14" ht="12.75" customHeight="1" x14ac:dyDescent="0.25">
      <c r="A129" s="13" t="s">
        <v>14</v>
      </c>
      <c r="B129" s="14" t="s">
        <v>61</v>
      </c>
      <c r="C129" s="14" t="s">
        <v>62</v>
      </c>
      <c r="D129" s="14" t="s">
        <v>41</v>
      </c>
      <c r="E129" s="14" t="s">
        <v>0</v>
      </c>
      <c r="F129" s="24">
        <v>46113</v>
      </c>
      <c r="G129" s="14" t="s">
        <v>32</v>
      </c>
      <c r="H129" s="15">
        <v>10000</v>
      </c>
      <c r="I129" s="26">
        <f t="shared" si="20"/>
        <v>46158</v>
      </c>
      <c r="J129" s="16">
        <f t="shared" si="11"/>
        <v>2026</v>
      </c>
      <c r="K129" s="16">
        <f t="shared" si="12"/>
        <v>4</v>
      </c>
      <c r="L129" s="16">
        <f t="shared" si="13"/>
        <v>2026</v>
      </c>
      <c r="M129" s="16">
        <f t="shared" si="14"/>
        <v>5</v>
      </c>
      <c r="N129" s="16">
        <f t="shared" si="15"/>
        <v>45</v>
      </c>
    </row>
    <row r="130" spans="1:14" ht="12.75" customHeight="1" x14ac:dyDescent="0.25">
      <c r="A130" s="13" t="s">
        <v>14</v>
      </c>
      <c r="B130" s="14" t="s">
        <v>61</v>
      </c>
      <c r="C130" s="14" t="s">
        <v>62</v>
      </c>
      <c r="D130" s="14" t="s">
        <v>41</v>
      </c>
      <c r="E130" s="14" t="s">
        <v>0</v>
      </c>
      <c r="F130" s="24">
        <v>46143</v>
      </c>
      <c r="G130" s="14" t="s">
        <v>32</v>
      </c>
      <c r="H130" s="15">
        <v>10000</v>
      </c>
      <c r="I130" s="26">
        <f t="shared" si="20"/>
        <v>46188</v>
      </c>
      <c r="J130" s="16">
        <f t="shared" si="11"/>
        <v>2026</v>
      </c>
      <c r="K130" s="16">
        <f t="shared" si="12"/>
        <v>5</v>
      </c>
      <c r="L130" s="16">
        <f t="shared" si="13"/>
        <v>2026</v>
      </c>
      <c r="M130" s="16">
        <f t="shared" si="14"/>
        <v>6</v>
      </c>
      <c r="N130" s="16">
        <f t="shared" si="15"/>
        <v>45</v>
      </c>
    </row>
    <row r="131" spans="1:14" ht="12.75" customHeight="1" x14ac:dyDescent="0.25">
      <c r="A131" s="13" t="s">
        <v>14</v>
      </c>
      <c r="B131" s="14" t="s">
        <v>61</v>
      </c>
      <c r="C131" s="14" t="s">
        <v>62</v>
      </c>
      <c r="D131" s="14" t="s">
        <v>41</v>
      </c>
      <c r="E131" s="14" t="s">
        <v>0</v>
      </c>
      <c r="F131" s="24">
        <v>46174</v>
      </c>
      <c r="G131" s="14" t="s">
        <v>32</v>
      </c>
      <c r="H131" s="15">
        <v>10000</v>
      </c>
      <c r="I131" s="26">
        <f t="shared" si="20"/>
        <v>46219</v>
      </c>
      <c r="J131" s="16">
        <f t="shared" ref="J131:J194" si="21">YEAR(F131)</f>
        <v>2026</v>
      </c>
      <c r="K131" s="16">
        <f t="shared" ref="K131:K194" si="22">MONTH(F131)</f>
        <v>6</v>
      </c>
      <c r="L131" s="16">
        <f t="shared" ref="L131:L194" si="23">YEAR(I131)</f>
        <v>2026</v>
      </c>
      <c r="M131" s="16">
        <f t="shared" ref="M131:M194" si="24">MONTH(I131)</f>
        <v>7</v>
      </c>
      <c r="N131" s="16">
        <f t="shared" ref="N131:N194" si="25">+I131-F131</f>
        <v>45</v>
      </c>
    </row>
    <row r="132" spans="1:14" ht="12.75" customHeight="1" x14ac:dyDescent="0.25">
      <c r="A132" s="13" t="s">
        <v>14</v>
      </c>
      <c r="B132" s="14" t="s">
        <v>61</v>
      </c>
      <c r="C132" s="14" t="s">
        <v>62</v>
      </c>
      <c r="D132" s="14" t="s">
        <v>41</v>
      </c>
      <c r="E132" s="14" t="s">
        <v>0</v>
      </c>
      <c r="F132" s="24">
        <v>46204</v>
      </c>
      <c r="G132" s="14" t="s">
        <v>32</v>
      </c>
      <c r="H132" s="15">
        <v>10000</v>
      </c>
      <c r="I132" s="26">
        <f t="shared" si="20"/>
        <v>46249</v>
      </c>
      <c r="J132" s="16">
        <f t="shared" si="21"/>
        <v>2026</v>
      </c>
      <c r="K132" s="16">
        <f t="shared" si="22"/>
        <v>7</v>
      </c>
      <c r="L132" s="16">
        <f t="shared" si="23"/>
        <v>2026</v>
      </c>
      <c r="M132" s="16">
        <f t="shared" si="24"/>
        <v>8</v>
      </c>
      <c r="N132" s="16">
        <f t="shared" si="25"/>
        <v>45</v>
      </c>
    </row>
    <row r="133" spans="1:14" ht="12.75" customHeight="1" x14ac:dyDescent="0.25">
      <c r="A133" s="13" t="s">
        <v>14</v>
      </c>
      <c r="B133" s="14" t="s">
        <v>61</v>
      </c>
      <c r="C133" s="14" t="s">
        <v>62</v>
      </c>
      <c r="D133" s="14" t="s">
        <v>41</v>
      </c>
      <c r="E133" s="14" t="s">
        <v>0</v>
      </c>
      <c r="F133" s="24">
        <v>46235</v>
      </c>
      <c r="G133" s="14" t="s">
        <v>32</v>
      </c>
      <c r="H133" s="15">
        <v>10000</v>
      </c>
      <c r="I133" s="26">
        <f t="shared" si="20"/>
        <v>46280</v>
      </c>
      <c r="J133" s="16">
        <f t="shared" si="21"/>
        <v>2026</v>
      </c>
      <c r="K133" s="16">
        <f t="shared" si="22"/>
        <v>8</v>
      </c>
      <c r="L133" s="16">
        <f t="shared" si="23"/>
        <v>2026</v>
      </c>
      <c r="M133" s="16">
        <f t="shared" si="24"/>
        <v>9</v>
      </c>
      <c r="N133" s="16">
        <f t="shared" si="25"/>
        <v>45</v>
      </c>
    </row>
    <row r="134" spans="1:14" ht="12.75" customHeight="1" x14ac:dyDescent="0.25">
      <c r="A134" s="13" t="s">
        <v>14</v>
      </c>
      <c r="B134" s="14" t="s">
        <v>61</v>
      </c>
      <c r="C134" s="14" t="s">
        <v>62</v>
      </c>
      <c r="D134" s="14" t="s">
        <v>41</v>
      </c>
      <c r="E134" s="14" t="s">
        <v>0</v>
      </c>
      <c r="F134" s="24">
        <v>46266</v>
      </c>
      <c r="G134" s="14" t="s">
        <v>32</v>
      </c>
      <c r="H134" s="15">
        <v>10000</v>
      </c>
      <c r="I134" s="26">
        <f t="shared" si="20"/>
        <v>46311</v>
      </c>
      <c r="J134" s="16">
        <f t="shared" si="21"/>
        <v>2026</v>
      </c>
      <c r="K134" s="16">
        <f t="shared" si="22"/>
        <v>9</v>
      </c>
      <c r="L134" s="16">
        <f t="shared" si="23"/>
        <v>2026</v>
      </c>
      <c r="M134" s="16">
        <f t="shared" si="24"/>
        <v>10</v>
      </c>
      <c r="N134" s="16">
        <f t="shared" si="25"/>
        <v>45</v>
      </c>
    </row>
    <row r="135" spans="1:14" ht="12.75" customHeight="1" x14ac:dyDescent="0.25">
      <c r="A135" s="13" t="s">
        <v>14</v>
      </c>
      <c r="B135" s="14" t="s">
        <v>61</v>
      </c>
      <c r="C135" s="14" t="s">
        <v>62</v>
      </c>
      <c r="D135" s="14" t="s">
        <v>41</v>
      </c>
      <c r="E135" s="14" t="s">
        <v>0</v>
      </c>
      <c r="F135" s="24">
        <v>46296</v>
      </c>
      <c r="G135" s="14" t="s">
        <v>32</v>
      </c>
      <c r="H135" s="15">
        <v>10000</v>
      </c>
      <c r="I135" s="26">
        <f t="shared" si="20"/>
        <v>46341</v>
      </c>
      <c r="J135" s="16">
        <f t="shared" si="21"/>
        <v>2026</v>
      </c>
      <c r="K135" s="16">
        <f t="shared" si="22"/>
        <v>10</v>
      </c>
      <c r="L135" s="16">
        <f t="shared" si="23"/>
        <v>2026</v>
      </c>
      <c r="M135" s="16">
        <f t="shared" si="24"/>
        <v>11</v>
      </c>
      <c r="N135" s="16">
        <f t="shared" si="25"/>
        <v>45</v>
      </c>
    </row>
    <row r="136" spans="1:14" ht="12.75" customHeight="1" x14ac:dyDescent="0.25">
      <c r="A136" s="13" t="s">
        <v>14</v>
      </c>
      <c r="B136" s="14" t="s">
        <v>61</v>
      </c>
      <c r="C136" s="14" t="s">
        <v>62</v>
      </c>
      <c r="D136" s="14" t="s">
        <v>41</v>
      </c>
      <c r="E136" s="14" t="s">
        <v>0</v>
      </c>
      <c r="F136" s="24">
        <v>46327</v>
      </c>
      <c r="G136" s="14" t="s">
        <v>32</v>
      </c>
      <c r="H136" s="15">
        <v>10000</v>
      </c>
      <c r="I136" s="26">
        <f t="shared" si="20"/>
        <v>46372</v>
      </c>
      <c r="J136" s="16">
        <f t="shared" si="21"/>
        <v>2026</v>
      </c>
      <c r="K136" s="16">
        <f t="shared" si="22"/>
        <v>11</v>
      </c>
      <c r="L136" s="16">
        <f t="shared" si="23"/>
        <v>2026</v>
      </c>
      <c r="M136" s="16">
        <f t="shared" si="24"/>
        <v>12</v>
      </c>
      <c r="N136" s="16">
        <f t="shared" si="25"/>
        <v>45</v>
      </c>
    </row>
    <row r="137" spans="1:14" ht="12.75" customHeight="1" x14ac:dyDescent="0.25">
      <c r="A137" s="13" t="s">
        <v>14</v>
      </c>
      <c r="B137" s="14" t="s">
        <v>61</v>
      </c>
      <c r="C137" s="14" t="s">
        <v>62</v>
      </c>
      <c r="D137" s="14" t="s">
        <v>41</v>
      </c>
      <c r="E137" s="14" t="s">
        <v>0</v>
      </c>
      <c r="F137" s="24">
        <v>46357</v>
      </c>
      <c r="G137" s="14" t="s">
        <v>32</v>
      </c>
      <c r="H137" s="15">
        <v>10000</v>
      </c>
      <c r="I137" s="26">
        <f t="shared" si="20"/>
        <v>46402</v>
      </c>
      <c r="J137" s="16">
        <f t="shared" si="21"/>
        <v>2026</v>
      </c>
      <c r="K137" s="16">
        <f t="shared" si="22"/>
        <v>12</v>
      </c>
      <c r="L137" s="16">
        <f t="shared" si="23"/>
        <v>2027</v>
      </c>
      <c r="M137" s="16">
        <f t="shared" si="24"/>
        <v>1</v>
      </c>
      <c r="N137" s="16">
        <f t="shared" si="25"/>
        <v>45</v>
      </c>
    </row>
    <row r="138" spans="1:14" ht="12.75" customHeight="1" x14ac:dyDescent="0.25">
      <c r="A138" s="2" t="s">
        <v>97</v>
      </c>
      <c r="B138" s="3" t="s">
        <v>61</v>
      </c>
      <c r="C138" s="3" t="s">
        <v>62</v>
      </c>
      <c r="D138" s="3" t="s">
        <v>40</v>
      </c>
      <c r="E138" s="3" t="s">
        <v>0</v>
      </c>
      <c r="F138" s="23">
        <v>45891</v>
      </c>
      <c r="G138" s="3">
        <v>6259</v>
      </c>
      <c r="H138" s="6">
        <v>103535</v>
      </c>
      <c r="I138" s="23">
        <v>45936</v>
      </c>
      <c r="J138" s="7">
        <f t="shared" si="21"/>
        <v>2025</v>
      </c>
      <c r="K138" s="7">
        <f t="shared" si="22"/>
        <v>8</v>
      </c>
      <c r="L138" s="7">
        <f t="shared" si="23"/>
        <v>2025</v>
      </c>
      <c r="M138" s="7">
        <f t="shared" si="24"/>
        <v>10</v>
      </c>
      <c r="N138" s="7">
        <f t="shared" si="25"/>
        <v>45</v>
      </c>
    </row>
    <row r="139" spans="1:14" ht="12.75" customHeight="1" x14ac:dyDescent="0.25">
      <c r="A139" s="2" t="s">
        <v>97</v>
      </c>
      <c r="B139" s="3" t="s">
        <v>61</v>
      </c>
      <c r="C139" s="3" t="s">
        <v>62</v>
      </c>
      <c r="D139" s="3" t="s">
        <v>40</v>
      </c>
      <c r="E139" s="3" t="s">
        <v>0</v>
      </c>
      <c r="F139" s="23">
        <v>45891</v>
      </c>
      <c r="G139" s="3">
        <v>6260</v>
      </c>
      <c r="H139" s="6">
        <v>103535</v>
      </c>
      <c r="I139" s="23">
        <v>45974</v>
      </c>
      <c r="J139" s="7">
        <f t="shared" si="21"/>
        <v>2025</v>
      </c>
      <c r="K139" s="7">
        <f t="shared" si="22"/>
        <v>8</v>
      </c>
      <c r="L139" s="7">
        <f t="shared" si="23"/>
        <v>2025</v>
      </c>
      <c r="M139" s="7">
        <f t="shared" si="24"/>
        <v>11</v>
      </c>
      <c r="N139" s="7">
        <f t="shared" si="25"/>
        <v>83</v>
      </c>
    </row>
    <row r="140" spans="1:14" ht="12.75" customHeight="1" x14ac:dyDescent="0.25">
      <c r="A140" s="2" t="s">
        <v>97</v>
      </c>
      <c r="B140" s="3" t="s">
        <v>61</v>
      </c>
      <c r="C140" s="3" t="s">
        <v>62</v>
      </c>
      <c r="D140" s="3" t="s">
        <v>40</v>
      </c>
      <c r="E140" s="3" t="s">
        <v>0</v>
      </c>
      <c r="F140" s="23">
        <v>45991</v>
      </c>
      <c r="G140" s="3">
        <v>6321</v>
      </c>
      <c r="H140" s="6">
        <v>12975.75</v>
      </c>
      <c r="I140" s="26">
        <f t="shared" ref="I140" si="26">+F140+45</f>
        <v>46036</v>
      </c>
      <c r="J140" s="7">
        <f t="shared" si="21"/>
        <v>2025</v>
      </c>
      <c r="K140" s="7">
        <f t="shared" si="22"/>
        <v>11</v>
      </c>
      <c r="L140" s="7">
        <f t="shared" si="23"/>
        <v>2026</v>
      </c>
      <c r="M140" s="7">
        <f t="shared" si="24"/>
        <v>1</v>
      </c>
      <c r="N140" s="7">
        <f t="shared" si="25"/>
        <v>45</v>
      </c>
    </row>
    <row r="141" spans="1:14" ht="12.75" customHeight="1" x14ac:dyDescent="0.25">
      <c r="A141" s="2" t="s">
        <v>97</v>
      </c>
      <c r="B141" s="3" t="s">
        <v>61</v>
      </c>
      <c r="C141" s="3" t="s">
        <v>62</v>
      </c>
      <c r="D141" s="3" t="s">
        <v>40</v>
      </c>
      <c r="E141" s="3" t="s">
        <v>0</v>
      </c>
      <c r="F141" s="23">
        <v>46022</v>
      </c>
      <c r="G141" s="3">
        <v>6339</v>
      </c>
      <c r="H141" s="6">
        <v>44443</v>
      </c>
      <c r="I141" s="26">
        <f t="shared" ref="I141" si="27">+F141+45</f>
        <v>46067</v>
      </c>
      <c r="J141" s="7">
        <f t="shared" si="21"/>
        <v>2025</v>
      </c>
      <c r="K141" s="7">
        <f t="shared" si="22"/>
        <v>12</v>
      </c>
      <c r="L141" s="7">
        <f t="shared" si="23"/>
        <v>2026</v>
      </c>
      <c r="M141" s="7">
        <f t="shared" si="24"/>
        <v>2</v>
      </c>
      <c r="N141" s="7">
        <f t="shared" si="25"/>
        <v>45</v>
      </c>
    </row>
    <row r="142" spans="1:14" ht="12.75" customHeight="1" x14ac:dyDescent="0.25">
      <c r="A142" s="13" t="s">
        <v>97</v>
      </c>
      <c r="B142" s="14" t="s">
        <v>61</v>
      </c>
      <c r="C142" s="14" t="s">
        <v>62</v>
      </c>
      <c r="D142" s="14" t="s">
        <v>41</v>
      </c>
      <c r="E142" s="14" t="s">
        <v>0</v>
      </c>
      <c r="F142" s="24">
        <v>46053</v>
      </c>
      <c r="G142" s="14" t="s">
        <v>32</v>
      </c>
      <c r="H142" s="15">
        <v>50000</v>
      </c>
      <c r="I142" s="26">
        <f t="shared" ref="I142:I143" si="28">+F142+45</f>
        <v>46098</v>
      </c>
      <c r="J142" s="16">
        <f t="shared" si="21"/>
        <v>2026</v>
      </c>
      <c r="K142" s="16">
        <f t="shared" si="22"/>
        <v>1</v>
      </c>
      <c r="L142" s="16">
        <f t="shared" si="23"/>
        <v>2026</v>
      </c>
      <c r="M142" s="16">
        <f t="shared" si="24"/>
        <v>3</v>
      </c>
      <c r="N142" s="16">
        <f t="shared" si="25"/>
        <v>45</v>
      </c>
    </row>
    <row r="143" spans="1:14" ht="12.75" customHeight="1" x14ac:dyDescent="0.25">
      <c r="A143" s="13" t="s">
        <v>97</v>
      </c>
      <c r="B143" s="14" t="s">
        <v>61</v>
      </c>
      <c r="C143" s="14" t="s">
        <v>62</v>
      </c>
      <c r="D143" s="14" t="s">
        <v>41</v>
      </c>
      <c r="E143" s="14" t="s">
        <v>0</v>
      </c>
      <c r="F143" s="24">
        <v>46081</v>
      </c>
      <c r="G143" s="14" t="s">
        <v>32</v>
      </c>
      <c r="H143" s="15">
        <v>50000</v>
      </c>
      <c r="I143" s="26">
        <f t="shared" si="28"/>
        <v>46126</v>
      </c>
      <c r="J143" s="16">
        <f t="shared" si="21"/>
        <v>2026</v>
      </c>
      <c r="K143" s="16">
        <f t="shared" si="22"/>
        <v>2</v>
      </c>
      <c r="L143" s="16">
        <f t="shared" si="23"/>
        <v>2026</v>
      </c>
      <c r="M143" s="16">
        <f t="shared" si="24"/>
        <v>4</v>
      </c>
      <c r="N143" s="16">
        <f t="shared" si="25"/>
        <v>45</v>
      </c>
    </row>
    <row r="144" spans="1:14" ht="12.75" customHeight="1" x14ac:dyDescent="0.25">
      <c r="A144" s="13" t="s">
        <v>97</v>
      </c>
      <c r="B144" s="14" t="s">
        <v>61</v>
      </c>
      <c r="C144" s="14" t="s">
        <v>62</v>
      </c>
      <c r="D144" s="14" t="s">
        <v>41</v>
      </c>
      <c r="E144" s="14" t="s">
        <v>0</v>
      </c>
      <c r="F144" s="24">
        <v>46112</v>
      </c>
      <c r="G144" s="14" t="s">
        <v>32</v>
      </c>
      <c r="H144" s="15">
        <v>50000</v>
      </c>
      <c r="I144" s="26">
        <f t="shared" ref="I144:I145" si="29">+F144+45</f>
        <v>46157</v>
      </c>
      <c r="J144" s="16">
        <f t="shared" si="21"/>
        <v>2026</v>
      </c>
      <c r="K144" s="16">
        <f t="shared" si="22"/>
        <v>3</v>
      </c>
      <c r="L144" s="16">
        <f t="shared" si="23"/>
        <v>2026</v>
      </c>
      <c r="M144" s="16">
        <f t="shared" si="24"/>
        <v>5</v>
      </c>
      <c r="N144" s="16">
        <f t="shared" si="25"/>
        <v>45</v>
      </c>
    </row>
    <row r="145" spans="1:14" ht="12.75" customHeight="1" x14ac:dyDescent="0.25">
      <c r="A145" s="13" t="s">
        <v>97</v>
      </c>
      <c r="B145" s="14" t="s">
        <v>61</v>
      </c>
      <c r="C145" s="14" t="s">
        <v>62</v>
      </c>
      <c r="D145" s="14" t="s">
        <v>41</v>
      </c>
      <c r="E145" s="14" t="s">
        <v>0</v>
      </c>
      <c r="F145" s="24">
        <v>46142</v>
      </c>
      <c r="G145" s="14" t="s">
        <v>32</v>
      </c>
      <c r="H145" s="15">
        <v>50000</v>
      </c>
      <c r="I145" s="26">
        <f t="shared" si="29"/>
        <v>46187</v>
      </c>
      <c r="J145" s="16">
        <f t="shared" si="21"/>
        <v>2026</v>
      </c>
      <c r="K145" s="16">
        <f t="shared" si="22"/>
        <v>4</v>
      </c>
      <c r="L145" s="16">
        <f t="shared" si="23"/>
        <v>2026</v>
      </c>
      <c r="M145" s="16">
        <f t="shared" si="24"/>
        <v>6</v>
      </c>
      <c r="N145" s="16">
        <f t="shared" si="25"/>
        <v>45</v>
      </c>
    </row>
    <row r="146" spans="1:14" ht="12.75" customHeight="1" x14ac:dyDescent="0.25">
      <c r="A146" s="13" t="s">
        <v>97</v>
      </c>
      <c r="B146" s="14" t="s">
        <v>61</v>
      </c>
      <c r="C146" s="14" t="s">
        <v>62</v>
      </c>
      <c r="D146" s="14" t="s">
        <v>41</v>
      </c>
      <c r="E146" s="14" t="s">
        <v>0</v>
      </c>
      <c r="F146" s="24">
        <v>46173</v>
      </c>
      <c r="G146" s="14" t="s">
        <v>32</v>
      </c>
      <c r="H146" s="15">
        <f>517677-SUM(H138:H145)</f>
        <v>53188.25</v>
      </c>
      <c r="I146" s="26">
        <f t="shared" ref="I146" si="30">+F146+45</f>
        <v>46218</v>
      </c>
      <c r="J146" s="16">
        <f t="shared" si="21"/>
        <v>2026</v>
      </c>
      <c r="K146" s="16">
        <f t="shared" si="22"/>
        <v>5</v>
      </c>
      <c r="L146" s="16">
        <f t="shared" si="23"/>
        <v>2026</v>
      </c>
      <c r="M146" s="16">
        <f t="shared" si="24"/>
        <v>7</v>
      </c>
      <c r="N146" s="16">
        <f t="shared" si="25"/>
        <v>45</v>
      </c>
    </row>
    <row r="147" spans="1:14" ht="12.75" customHeight="1" x14ac:dyDescent="0.25">
      <c r="A147" s="2" t="s">
        <v>98</v>
      </c>
      <c r="B147" s="3" t="s">
        <v>61</v>
      </c>
      <c r="C147" s="3" t="s">
        <v>62</v>
      </c>
      <c r="D147" s="3" t="s">
        <v>40</v>
      </c>
      <c r="E147" s="3" t="s">
        <v>0</v>
      </c>
      <c r="F147" s="23">
        <v>45891</v>
      </c>
      <c r="G147" s="3">
        <v>6258</v>
      </c>
      <c r="H147" s="6">
        <v>30000</v>
      </c>
      <c r="I147" s="23">
        <v>45909</v>
      </c>
      <c r="J147" s="7">
        <f t="shared" si="21"/>
        <v>2025</v>
      </c>
      <c r="K147" s="7">
        <f t="shared" si="22"/>
        <v>8</v>
      </c>
      <c r="L147" s="7">
        <f t="shared" si="23"/>
        <v>2025</v>
      </c>
      <c r="M147" s="7">
        <f t="shared" si="24"/>
        <v>9</v>
      </c>
      <c r="N147" s="7">
        <f t="shared" si="25"/>
        <v>18</v>
      </c>
    </row>
    <row r="148" spans="1:14" ht="12.75" customHeight="1" x14ac:dyDescent="0.25">
      <c r="A148" s="2" t="s">
        <v>98</v>
      </c>
      <c r="B148" s="3" t="s">
        <v>61</v>
      </c>
      <c r="C148" s="3" t="s">
        <v>62</v>
      </c>
      <c r="D148" s="3" t="s">
        <v>40</v>
      </c>
      <c r="E148" s="3" t="s">
        <v>0</v>
      </c>
      <c r="F148" s="23">
        <v>45930</v>
      </c>
      <c r="G148" s="3">
        <v>6281</v>
      </c>
      <c r="H148" s="6">
        <v>29000</v>
      </c>
      <c r="I148" s="23">
        <f t="shared" ref="I148:I151" si="31">+F148+45</f>
        <v>45975</v>
      </c>
      <c r="J148" s="7">
        <f t="shared" si="21"/>
        <v>2025</v>
      </c>
      <c r="K148" s="7">
        <f t="shared" si="22"/>
        <v>9</v>
      </c>
      <c r="L148" s="7">
        <f t="shared" si="23"/>
        <v>2025</v>
      </c>
      <c r="M148" s="7">
        <f t="shared" si="24"/>
        <v>11</v>
      </c>
      <c r="N148" s="7">
        <f t="shared" si="25"/>
        <v>45</v>
      </c>
    </row>
    <row r="149" spans="1:14" ht="12.75" customHeight="1" x14ac:dyDescent="0.25">
      <c r="A149" s="13" t="s">
        <v>98</v>
      </c>
      <c r="B149" s="14" t="s">
        <v>61</v>
      </c>
      <c r="C149" s="14" t="s">
        <v>62</v>
      </c>
      <c r="D149" s="14" t="s">
        <v>41</v>
      </c>
      <c r="E149" s="14" t="s">
        <v>0</v>
      </c>
      <c r="F149" s="24">
        <v>46113</v>
      </c>
      <c r="G149" s="14" t="s">
        <v>32</v>
      </c>
      <c r="H149" s="15">
        <v>60000</v>
      </c>
      <c r="I149" s="26">
        <f t="shared" ref="I149:I150" si="32">+F149+45</f>
        <v>46158</v>
      </c>
      <c r="J149" s="16">
        <f t="shared" si="21"/>
        <v>2026</v>
      </c>
      <c r="K149" s="16">
        <f t="shared" si="22"/>
        <v>4</v>
      </c>
      <c r="L149" s="16">
        <f t="shared" si="23"/>
        <v>2026</v>
      </c>
      <c r="M149" s="16">
        <f t="shared" si="24"/>
        <v>5</v>
      </c>
      <c r="N149" s="16">
        <f t="shared" si="25"/>
        <v>45</v>
      </c>
    </row>
    <row r="150" spans="1:14" ht="12.75" customHeight="1" x14ac:dyDescent="0.25">
      <c r="A150" s="13" t="s">
        <v>98</v>
      </c>
      <c r="B150" s="14" t="s">
        <v>61</v>
      </c>
      <c r="C150" s="14" t="s">
        <v>62</v>
      </c>
      <c r="D150" s="14" t="s">
        <v>41</v>
      </c>
      <c r="E150" s="14" t="s">
        <v>0</v>
      </c>
      <c r="F150" s="24">
        <v>46478</v>
      </c>
      <c r="G150" s="14" t="s">
        <v>32</v>
      </c>
      <c r="H150" s="15">
        <v>60000</v>
      </c>
      <c r="I150" s="26">
        <f t="shared" si="32"/>
        <v>46523</v>
      </c>
      <c r="J150" s="16">
        <f t="shared" si="21"/>
        <v>2027</v>
      </c>
      <c r="K150" s="16">
        <f t="shared" si="22"/>
        <v>4</v>
      </c>
      <c r="L150" s="16">
        <f t="shared" si="23"/>
        <v>2027</v>
      </c>
      <c r="M150" s="16">
        <f t="shared" si="24"/>
        <v>5</v>
      </c>
      <c r="N150" s="16">
        <f t="shared" si="25"/>
        <v>45</v>
      </c>
    </row>
    <row r="151" spans="1:14" ht="12.75" customHeight="1" x14ac:dyDescent="0.25">
      <c r="A151" s="13" t="s">
        <v>98</v>
      </c>
      <c r="B151" s="14" t="s">
        <v>61</v>
      </c>
      <c r="C151" s="14" t="s">
        <v>62</v>
      </c>
      <c r="D151" s="14" t="s">
        <v>41</v>
      </c>
      <c r="E151" s="14" t="s">
        <v>0</v>
      </c>
      <c r="F151" s="24">
        <v>46844</v>
      </c>
      <c r="G151" s="14" t="s">
        <v>32</v>
      </c>
      <c r="H151" s="15">
        <v>60000</v>
      </c>
      <c r="I151" s="26">
        <f t="shared" si="31"/>
        <v>46889</v>
      </c>
      <c r="J151" s="16">
        <f t="shared" si="21"/>
        <v>2028</v>
      </c>
      <c r="K151" s="16">
        <f t="shared" si="22"/>
        <v>4</v>
      </c>
      <c r="L151" s="16">
        <f t="shared" si="23"/>
        <v>2028</v>
      </c>
      <c r="M151" s="16">
        <f t="shared" si="24"/>
        <v>5</v>
      </c>
      <c r="N151" s="16">
        <f t="shared" si="25"/>
        <v>45</v>
      </c>
    </row>
    <row r="152" spans="1:14" ht="12.75" customHeight="1" x14ac:dyDescent="0.25">
      <c r="A152" s="1" t="s">
        <v>3</v>
      </c>
      <c r="B152" s="34" t="s">
        <v>61</v>
      </c>
      <c r="C152" s="34" t="s">
        <v>68</v>
      </c>
      <c r="D152" s="3" t="s">
        <v>40</v>
      </c>
      <c r="E152" s="3" t="s">
        <v>0</v>
      </c>
      <c r="F152" s="23">
        <v>45658</v>
      </c>
      <c r="G152" s="3">
        <v>6141</v>
      </c>
      <c r="H152" s="6">
        <v>1500</v>
      </c>
      <c r="I152" s="23">
        <v>45687</v>
      </c>
      <c r="J152" s="7">
        <f t="shared" si="21"/>
        <v>2025</v>
      </c>
      <c r="K152" s="7">
        <f t="shared" si="22"/>
        <v>1</v>
      </c>
      <c r="L152" s="7">
        <f t="shared" si="23"/>
        <v>2025</v>
      </c>
      <c r="M152" s="7">
        <f t="shared" si="24"/>
        <v>1</v>
      </c>
      <c r="N152" s="7">
        <f t="shared" si="25"/>
        <v>29</v>
      </c>
    </row>
    <row r="153" spans="1:14" ht="12.75" customHeight="1" x14ac:dyDescent="0.25">
      <c r="A153" s="1" t="s">
        <v>3</v>
      </c>
      <c r="B153" s="34" t="s">
        <v>61</v>
      </c>
      <c r="C153" s="34" t="s">
        <v>68</v>
      </c>
      <c r="D153" s="3" t="s">
        <v>40</v>
      </c>
      <c r="E153" s="3" t="s">
        <v>0</v>
      </c>
      <c r="F153" s="23">
        <v>45689</v>
      </c>
      <c r="G153" s="3">
        <v>6156</v>
      </c>
      <c r="H153" s="6">
        <v>1500</v>
      </c>
      <c r="I153" s="23">
        <v>45716</v>
      </c>
      <c r="J153" s="7">
        <f t="shared" si="21"/>
        <v>2025</v>
      </c>
      <c r="K153" s="7">
        <f t="shared" si="22"/>
        <v>2</v>
      </c>
      <c r="L153" s="7">
        <f t="shared" si="23"/>
        <v>2025</v>
      </c>
      <c r="M153" s="7">
        <f t="shared" si="24"/>
        <v>2</v>
      </c>
      <c r="N153" s="7">
        <f t="shared" si="25"/>
        <v>27</v>
      </c>
    </row>
    <row r="154" spans="1:14" ht="12.75" customHeight="1" x14ac:dyDescent="0.25">
      <c r="A154" s="1" t="s">
        <v>3</v>
      </c>
      <c r="B154" s="34" t="s">
        <v>61</v>
      </c>
      <c r="C154" s="34" t="s">
        <v>68</v>
      </c>
      <c r="D154" s="3" t="s">
        <v>40</v>
      </c>
      <c r="E154" s="3" t="s">
        <v>0</v>
      </c>
      <c r="F154" s="23">
        <v>45717</v>
      </c>
      <c r="G154" s="3">
        <v>6171</v>
      </c>
      <c r="H154" s="6">
        <v>1500</v>
      </c>
      <c r="I154" s="23">
        <v>45748</v>
      </c>
      <c r="J154" s="7">
        <f t="shared" si="21"/>
        <v>2025</v>
      </c>
      <c r="K154" s="7">
        <f t="shared" si="22"/>
        <v>3</v>
      </c>
      <c r="L154" s="7">
        <f t="shared" si="23"/>
        <v>2025</v>
      </c>
      <c r="M154" s="7">
        <f t="shared" si="24"/>
        <v>4</v>
      </c>
      <c r="N154" s="7">
        <f t="shared" si="25"/>
        <v>31</v>
      </c>
    </row>
    <row r="155" spans="1:14" ht="12.75" customHeight="1" x14ac:dyDescent="0.25">
      <c r="A155" s="1" t="s">
        <v>3</v>
      </c>
      <c r="B155" s="34" t="s">
        <v>61</v>
      </c>
      <c r="C155" s="34" t="s">
        <v>68</v>
      </c>
      <c r="D155" s="3" t="s">
        <v>40</v>
      </c>
      <c r="E155" s="3" t="s">
        <v>0</v>
      </c>
      <c r="F155" s="23">
        <v>45748</v>
      </c>
      <c r="G155" s="3">
        <v>6188</v>
      </c>
      <c r="H155" s="6">
        <v>1500</v>
      </c>
      <c r="I155" s="23">
        <v>45778</v>
      </c>
      <c r="J155" s="7">
        <f t="shared" si="21"/>
        <v>2025</v>
      </c>
      <c r="K155" s="7">
        <f t="shared" si="22"/>
        <v>4</v>
      </c>
      <c r="L155" s="7">
        <f t="shared" si="23"/>
        <v>2025</v>
      </c>
      <c r="M155" s="7">
        <f t="shared" si="24"/>
        <v>5</v>
      </c>
      <c r="N155" s="7">
        <f t="shared" si="25"/>
        <v>30</v>
      </c>
    </row>
    <row r="156" spans="1:14" ht="12.75" customHeight="1" x14ac:dyDescent="0.25">
      <c r="A156" s="1" t="s">
        <v>3</v>
      </c>
      <c r="B156" s="34" t="s">
        <v>61</v>
      </c>
      <c r="C156" s="34" t="s">
        <v>68</v>
      </c>
      <c r="D156" s="3" t="s">
        <v>40</v>
      </c>
      <c r="E156" s="3" t="s">
        <v>0</v>
      </c>
      <c r="F156" s="23">
        <v>45778</v>
      </c>
      <c r="G156" s="3">
        <v>6200</v>
      </c>
      <c r="H156" s="6">
        <v>1500</v>
      </c>
      <c r="I156" s="23">
        <v>45809</v>
      </c>
      <c r="J156" s="7">
        <f t="shared" si="21"/>
        <v>2025</v>
      </c>
      <c r="K156" s="7">
        <f t="shared" si="22"/>
        <v>5</v>
      </c>
      <c r="L156" s="7">
        <f t="shared" si="23"/>
        <v>2025</v>
      </c>
      <c r="M156" s="7">
        <f t="shared" si="24"/>
        <v>6</v>
      </c>
      <c r="N156" s="7">
        <f t="shared" si="25"/>
        <v>31</v>
      </c>
    </row>
    <row r="157" spans="1:14" ht="12.75" customHeight="1" x14ac:dyDescent="0.25">
      <c r="A157" s="1" t="s">
        <v>3</v>
      </c>
      <c r="B157" s="34" t="s">
        <v>61</v>
      </c>
      <c r="C157" s="34" t="s">
        <v>68</v>
      </c>
      <c r="D157" s="3" t="s">
        <v>40</v>
      </c>
      <c r="E157" s="3" t="s">
        <v>0</v>
      </c>
      <c r="F157" s="23">
        <v>45809</v>
      </c>
      <c r="G157" s="3">
        <v>6215</v>
      </c>
      <c r="H157" s="6">
        <v>1500</v>
      </c>
      <c r="I157" s="23">
        <v>45840</v>
      </c>
      <c r="J157" s="7">
        <f t="shared" si="21"/>
        <v>2025</v>
      </c>
      <c r="K157" s="7">
        <f t="shared" si="22"/>
        <v>6</v>
      </c>
      <c r="L157" s="7">
        <f t="shared" si="23"/>
        <v>2025</v>
      </c>
      <c r="M157" s="7">
        <f t="shared" si="24"/>
        <v>7</v>
      </c>
      <c r="N157" s="7">
        <f t="shared" si="25"/>
        <v>31</v>
      </c>
    </row>
    <row r="158" spans="1:14" ht="12.75" customHeight="1" x14ac:dyDescent="0.25">
      <c r="A158" s="1" t="s">
        <v>3</v>
      </c>
      <c r="B158" s="34" t="s">
        <v>61</v>
      </c>
      <c r="C158" s="34" t="s">
        <v>68</v>
      </c>
      <c r="D158" s="3" t="s">
        <v>40</v>
      </c>
      <c r="E158" s="3" t="s">
        <v>0</v>
      </c>
      <c r="F158" s="23">
        <v>45839</v>
      </c>
      <c r="G158" s="3">
        <v>6230</v>
      </c>
      <c r="H158" s="6">
        <v>1500</v>
      </c>
      <c r="I158" s="23">
        <v>45868</v>
      </c>
      <c r="J158" s="7">
        <f t="shared" si="21"/>
        <v>2025</v>
      </c>
      <c r="K158" s="7">
        <f t="shared" si="22"/>
        <v>7</v>
      </c>
      <c r="L158" s="7">
        <f t="shared" si="23"/>
        <v>2025</v>
      </c>
      <c r="M158" s="7">
        <f t="shared" si="24"/>
        <v>7</v>
      </c>
      <c r="N158" s="7">
        <f t="shared" si="25"/>
        <v>29</v>
      </c>
    </row>
    <row r="159" spans="1:14" ht="12.75" customHeight="1" x14ac:dyDescent="0.25">
      <c r="A159" s="1" t="s">
        <v>3</v>
      </c>
      <c r="B159" s="34" t="s">
        <v>61</v>
      </c>
      <c r="C159" s="34" t="s">
        <v>68</v>
      </c>
      <c r="D159" s="3" t="s">
        <v>40</v>
      </c>
      <c r="E159" s="3" t="s">
        <v>0</v>
      </c>
      <c r="F159" s="23">
        <v>45901</v>
      </c>
      <c r="G159" s="3">
        <v>6263</v>
      </c>
      <c r="H159" s="6">
        <v>1500</v>
      </c>
      <c r="I159" s="23">
        <v>45929</v>
      </c>
      <c r="J159" s="7">
        <f t="shared" si="21"/>
        <v>2025</v>
      </c>
      <c r="K159" s="7">
        <f t="shared" si="22"/>
        <v>9</v>
      </c>
      <c r="L159" s="7">
        <f t="shared" si="23"/>
        <v>2025</v>
      </c>
      <c r="M159" s="7">
        <f t="shared" si="24"/>
        <v>9</v>
      </c>
      <c r="N159" s="7">
        <f t="shared" si="25"/>
        <v>28</v>
      </c>
    </row>
    <row r="160" spans="1:14" ht="12.75" customHeight="1" x14ac:dyDescent="0.25">
      <c r="A160" s="1" t="s">
        <v>3</v>
      </c>
      <c r="B160" s="34" t="s">
        <v>61</v>
      </c>
      <c r="C160" s="34" t="s">
        <v>68</v>
      </c>
      <c r="D160" s="3" t="s">
        <v>40</v>
      </c>
      <c r="E160" s="3" t="s">
        <v>0</v>
      </c>
      <c r="F160" s="23">
        <v>45931</v>
      </c>
      <c r="G160" s="3">
        <v>6276</v>
      </c>
      <c r="H160" s="6">
        <v>750</v>
      </c>
      <c r="I160" s="23">
        <v>45959</v>
      </c>
      <c r="J160" s="7">
        <f t="shared" si="21"/>
        <v>2025</v>
      </c>
      <c r="K160" s="7">
        <f t="shared" si="22"/>
        <v>10</v>
      </c>
      <c r="L160" s="7">
        <f t="shared" si="23"/>
        <v>2025</v>
      </c>
      <c r="M160" s="7">
        <f t="shared" si="24"/>
        <v>10</v>
      </c>
      <c r="N160" s="7">
        <f t="shared" si="25"/>
        <v>28</v>
      </c>
    </row>
    <row r="161" spans="1:14" ht="12.75" customHeight="1" x14ac:dyDescent="0.25">
      <c r="A161" s="2" t="s">
        <v>4</v>
      </c>
      <c r="B161" s="3" t="s">
        <v>61</v>
      </c>
      <c r="C161" s="3" t="s">
        <v>68</v>
      </c>
      <c r="D161" s="3" t="s">
        <v>40</v>
      </c>
      <c r="E161" s="3" t="s">
        <v>0</v>
      </c>
      <c r="F161" s="23">
        <v>45658</v>
      </c>
      <c r="G161" s="3">
        <v>6142</v>
      </c>
      <c r="H161" s="6">
        <v>8400</v>
      </c>
      <c r="I161" s="23">
        <v>45688</v>
      </c>
      <c r="J161" s="7">
        <f t="shared" si="21"/>
        <v>2025</v>
      </c>
      <c r="K161" s="7">
        <f t="shared" si="22"/>
        <v>1</v>
      </c>
      <c r="L161" s="7">
        <f t="shared" si="23"/>
        <v>2025</v>
      </c>
      <c r="M161" s="7">
        <f t="shared" si="24"/>
        <v>1</v>
      </c>
      <c r="N161" s="7">
        <f t="shared" si="25"/>
        <v>30</v>
      </c>
    </row>
    <row r="162" spans="1:14" ht="12.75" customHeight="1" x14ac:dyDescent="0.25">
      <c r="A162" s="2" t="s">
        <v>4</v>
      </c>
      <c r="B162" s="3" t="s">
        <v>61</v>
      </c>
      <c r="C162" s="3" t="s">
        <v>68</v>
      </c>
      <c r="D162" s="3" t="s">
        <v>40</v>
      </c>
      <c r="E162" s="3" t="s">
        <v>0</v>
      </c>
      <c r="F162" s="23">
        <v>45689</v>
      </c>
      <c r="G162" s="3">
        <v>6157</v>
      </c>
      <c r="H162" s="6">
        <v>8400</v>
      </c>
      <c r="I162" s="23">
        <v>45716</v>
      </c>
      <c r="J162" s="7">
        <f t="shared" si="21"/>
        <v>2025</v>
      </c>
      <c r="K162" s="7">
        <f t="shared" si="22"/>
        <v>2</v>
      </c>
      <c r="L162" s="7">
        <f t="shared" si="23"/>
        <v>2025</v>
      </c>
      <c r="M162" s="7">
        <f t="shared" si="24"/>
        <v>2</v>
      </c>
      <c r="N162" s="7">
        <f t="shared" si="25"/>
        <v>27</v>
      </c>
    </row>
    <row r="163" spans="1:14" ht="12.75" customHeight="1" x14ac:dyDescent="0.25">
      <c r="A163" s="2" t="s">
        <v>4</v>
      </c>
      <c r="B163" s="3" t="s">
        <v>61</v>
      </c>
      <c r="C163" s="3" t="s">
        <v>68</v>
      </c>
      <c r="D163" s="3" t="s">
        <v>40</v>
      </c>
      <c r="E163" s="3" t="s">
        <v>0</v>
      </c>
      <c r="F163" s="23">
        <v>45717</v>
      </c>
      <c r="G163" s="3">
        <v>6172</v>
      </c>
      <c r="H163" s="6">
        <v>5250</v>
      </c>
      <c r="I163" s="23">
        <v>45744</v>
      </c>
      <c r="J163" s="7">
        <f t="shared" si="21"/>
        <v>2025</v>
      </c>
      <c r="K163" s="7">
        <f t="shared" si="22"/>
        <v>3</v>
      </c>
      <c r="L163" s="7">
        <f t="shared" si="23"/>
        <v>2025</v>
      </c>
      <c r="M163" s="7">
        <f t="shared" si="24"/>
        <v>3</v>
      </c>
      <c r="N163" s="7">
        <f t="shared" si="25"/>
        <v>27</v>
      </c>
    </row>
    <row r="164" spans="1:14" ht="12.75" customHeight="1" x14ac:dyDescent="0.25">
      <c r="A164" s="2" t="s">
        <v>4</v>
      </c>
      <c r="B164" s="3" t="s">
        <v>61</v>
      </c>
      <c r="C164" s="3" t="s">
        <v>68</v>
      </c>
      <c r="D164" s="3" t="s">
        <v>40</v>
      </c>
      <c r="E164" s="3" t="s">
        <v>0</v>
      </c>
      <c r="F164" s="23">
        <v>45748</v>
      </c>
      <c r="G164" s="3">
        <v>6189</v>
      </c>
      <c r="H164" s="6">
        <v>5250</v>
      </c>
      <c r="I164" s="23">
        <v>45779</v>
      </c>
      <c r="J164" s="7">
        <f t="shared" si="21"/>
        <v>2025</v>
      </c>
      <c r="K164" s="7">
        <f t="shared" si="22"/>
        <v>4</v>
      </c>
      <c r="L164" s="7">
        <f t="shared" si="23"/>
        <v>2025</v>
      </c>
      <c r="M164" s="7">
        <f t="shared" si="24"/>
        <v>5</v>
      </c>
      <c r="N164" s="7">
        <f t="shared" si="25"/>
        <v>31</v>
      </c>
    </row>
    <row r="165" spans="1:14" ht="12.75" customHeight="1" x14ac:dyDescent="0.25">
      <c r="A165" s="2" t="s">
        <v>4</v>
      </c>
      <c r="B165" s="3" t="s">
        <v>61</v>
      </c>
      <c r="C165" s="3" t="s">
        <v>68</v>
      </c>
      <c r="D165" s="3" t="s">
        <v>40</v>
      </c>
      <c r="E165" s="3" t="s">
        <v>0</v>
      </c>
      <c r="F165" s="23">
        <v>45778</v>
      </c>
      <c r="G165" s="3">
        <v>6201</v>
      </c>
      <c r="H165" s="6">
        <v>5250</v>
      </c>
      <c r="I165" s="23">
        <v>45807</v>
      </c>
      <c r="J165" s="7">
        <f t="shared" si="21"/>
        <v>2025</v>
      </c>
      <c r="K165" s="7">
        <f t="shared" si="22"/>
        <v>5</v>
      </c>
      <c r="L165" s="7">
        <f t="shared" si="23"/>
        <v>2025</v>
      </c>
      <c r="M165" s="7">
        <f t="shared" si="24"/>
        <v>5</v>
      </c>
      <c r="N165" s="7">
        <f t="shared" si="25"/>
        <v>29</v>
      </c>
    </row>
    <row r="166" spans="1:14" ht="12.75" customHeight="1" x14ac:dyDescent="0.25">
      <c r="A166" s="2" t="s">
        <v>129</v>
      </c>
      <c r="B166" s="3" t="s">
        <v>61</v>
      </c>
      <c r="C166" s="3" t="s">
        <v>62</v>
      </c>
      <c r="D166" s="3" t="s">
        <v>40</v>
      </c>
      <c r="E166" s="3" t="s">
        <v>0</v>
      </c>
      <c r="F166" s="23">
        <v>45657</v>
      </c>
      <c r="G166" s="3">
        <v>6150</v>
      </c>
      <c r="H166" s="6">
        <v>33580</v>
      </c>
      <c r="I166" s="23">
        <v>45688</v>
      </c>
      <c r="J166" s="7">
        <f t="shared" si="21"/>
        <v>2024</v>
      </c>
      <c r="K166" s="7">
        <f t="shared" si="22"/>
        <v>12</v>
      </c>
      <c r="L166" s="7">
        <f t="shared" si="23"/>
        <v>2025</v>
      </c>
      <c r="M166" s="7">
        <f t="shared" si="24"/>
        <v>1</v>
      </c>
      <c r="N166" s="7">
        <f t="shared" si="25"/>
        <v>31</v>
      </c>
    </row>
    <row r="167" spans="1:14" ht="12.75" customHeight="1" x14ac:dyDescent="0.25">
      <c r="A167" s="2" t="s">
        <v>129</v>
      </c>
      <c r="B167" s="3" t="s">
        <v>61</v>
      </c>
      <c r="C167" s="3" t="s">
        <v>62</v>
      </c>
      <c r="D167" s="3" t="s">
        <v>40</v>
      </c>
      <c r="E167" s="3" t="s">
        <v>0</v>
      </c>
      <c r="F167" s="23">
        <v>45688</v>
      </c>
      <c r="G167" s="3">
        <v>6164</v>
      </c>
      <c r="H167" s="6">
        <v>30357.5</v>
      </c>
      <c r="I167" s="23">
        <v>45726</v>
      </c>
      <c r="J167" s="7">
        <f t="shared" si="21"/>
        <v>2025</v>
      </c>
      <c r="K167" s="7">
        <f t="shared" si="22"/>
        <v>1</v>
      </c>
      <c r="L167" s="7">
        <f t="shared" si="23"/>
        <v>2025</v>
      </c>
      <c r="M167" s="7">
        <f t="shared" si="24"/>
        <v>3</v>
      </c>
      <c r="N167" s="7">
        <f t="shared" si="25"/>
        <v>38</v>
      </c>
    </row>
    <row r="168" spans="1:14" ht="12.75" customHeight="1" x14ac:dyDescent="0.25">
      <c r="A168" s="2" t="s">
        <v>129</v>
      </c>
      <c r="B168" s="3" t="s">
        <v>61</v>
      </c>
      <c r="C168" s="3" t="s">
        <v>62</v>
      </c>
      <c r="D168" s="3" t="s">
        <v>40</v>
      </c>
      <c r="E168" s="3" t="s">
        <v>0</v>
      </c>
      <c r="F168" s="23">
        <v>45716</v>
      </c>
      <c r="G168" s="3">
        <v>6178</v>
      </c>
      <c r="H168" s="6">
        <v>38360</v>
      </c>
      <c r="I168" s="23">
        <v>45748</v>
      </c>
      <c r="J168" s="7">
        <f t="shared" si="21"/>
        <v>2025</v>
      </c>
      <c r="K168" s="7">
        <f t="shared" si="22"/>
        <v>2</v>
      </c>
      <c r="L168" s="7">
        <f t="shared" si="23"/>
        <v>2025</v>
      </c>
      <c r="M168" s="7">
        <f t="shared" si="24"/>
        <v>4</v>
      </c>
      <c r="N168" s="7">
        <f t="shared" si="25"/>
        <v>32</v>
      </c>
    </row>
    <row r="169" spans="1:14" ht="12.75" customHeight="1" x14ac:dyDescent="0.25">
      <c r="A169" s="2" t="s">
        <v>129</v>
      </c>
      <c r="B169" s="3" t="s">
        <v>61</v>
      </c>
      <c r="C169" s="3" t="s">
        <v>62</v>
      </c>
      <c r="D169" s="3" t="s">
        <v>40</v>
      </c>
      <c r="E169" s="3" t="s">
        <v>0</v>
      </c>
      <c r="F169" s="23">
        <v>45747</v>
      </c>
      <c r="G169" s="3">
        <v>6195</v>
      </c>
      <c r="H169" s="6">
        <v>63412</v>
      </c>
      <c r="I169" s="23">
        <v>45778</v>
      </c>
      <c r="J169" s="7">
        <f t="shared" si="21"/>
        <v>2025</v>
      </c>
      <c r="K169" s="7">
        <f t="shared" si="22"/>
        <v>3</v>
      </c>
      <c r="L169" s="7">
        <f t="shared" si="23"/>
        <v>2025</v>
      </c>
      <c r="M169" s="7">
        <f t="shared" si="24"/>
        <v>5</v>
      </c>
      <c r="N169" s="7">
        <f t="shared" si="25"/>
        <v>31</v>
      </c>
    </row>
    <row r="170" spans="1:14" ht="12.75" customHeight="1" x14ac:dyDescent="0.25">
      <c r="A170" s="2" t="s">
        <v>129</v>
      </c>
      <c r="B170" s="3" t="s">
        <v>61</v>
      </c>
      <c r="C170" s="3" t="s">
        <v>62</v>
      </c>
      <c r="D170" s="3" t="s">
        <v>40</v>
      </c>
      <c r="E170" s="3" t="s">
        <v>0</v>
      </c>
      <c r="F170" s="23">
        <v>45777</v>
      </c>
      <c r="G170" s="3">
        <v>6209</v>
      </c>
      <c r="H170" s="6">
        <v>77014</v>
      </c>
      <c r="I170" s="23">
        <v>45807</v>
      </c>
      <c r="J170" s="7">
        <f t="shared" si="21"/>
        <v>2025</v>
      </c>
      <c r="K170" s="7">
        <f t="shared" si="22"/>
        <v>4</v>
      </c>
      <c r="L170" s="7">
        <f t="shared" si="23"/>
        <v>2025</v>
      </c>
      <c r="M170" s="7">
        <f t="shared" si="24"/>
        <v>5</v>
      </c>
      <c r="N170" s="7">
        <f t="shared" si="25"/>
        <v>30</v>
      </c>
    </row>
    <row r="171" spans="1:14" ht="12.75" customHeight="1" x14ac:dyDescent="0.25">
      <c r="A171" s="2" t="s">
        <v>129</v>
      </c>
      <c r="B171" s="3" t="s">
        <v>61</v>
      </c>
      <c r="C171" s="3" t="s">
        <v>62</v>
      </c>
      <c r="D171" s="3" t="s">
        <v>40</v>
      </c>
      <c r="E171" s="3" t="s">
        <v>0</v>
      </c>
      <c r="F171" s="23">
        <v>45808</v>
      </c>
      <c r="G171" s="3">
        <v>6222</v>
      </c>
      <c r="H171" s="6">
        <v>68320</v>
      </c>
      <c r="I171" s="23">
        <v>45839</v>
      </c>
      <c r="J171" s="7">
        <f t="shared" si="21"/>
        <v>2025</v>
      </c>
      <c r="K171" s="7">
        <f t="shared" si="22"/>
        <v>5</v>
      </c>
      <c r="L171" s="7">
        <f t="shared" si="23"/>
        <v>2025</v>
      </c>
      <c r="M171" s="7">
        <f t="shared" si="24"/>
        <v>7</v>
      </c>
      <c r="N171" s="7">
        <f t="shared" si="25"/>
        <v>31</v>
      </c>
    </row>
    <row r="172" spans="1:14" ht="12.75" customHeight="1" x14ac:dyDescent="0.25">
      <c r="A172" s="2" t="s">
        <v>129</v>
      </c>
      <c r="B172" s="3" t="s">
        <v>61</v>
      </c>
      <c r="C172" s="3" t="s">
        <v>62</v>
      </c>
      <c r="D172" s="3" t="s">
        <v>40</v>
      </c>
      <c r="E172" s="3" t="s">
        <v>0</v>
      </c>
      <c r="F172" s="23">
        <v>45838</v>
      </c>
      <c r="G172" s="3">
        <v>6239</v>
      </c>
      <c r="H172" s="6">
        <v>57512</v>
      </c>
      <c r="I172" s="23">
        <v>45870</v>
      </c>
      <c r="J172" s="7">
        <f t="shared" si="21"/>
        <v>2025</v>
      </c>
      <c r="K172" s="7">
        <f t="shared" si="22"/>
        <v>6</v>
      </c>
      <c r="L172" s="7">
        <f t="shared" si="23"/>
        <v>2025</v>
      </c>
      <c r="M172" s="7">
        <f t="shared" si="24"/>
        <v>8</v>
      </c>
      <c r="N172" s="7">
        <f t="shared" si="25"/>
        <v>32</v>
      </c>
    </row>
    <row r="173" spans="1:14" ht="12.75" customHeight="1" x14ac:dyDescent="0.25">
      <c r="A173" s="2" t="s">
        <v>129</v>
      </c>
      <c r="B173" s="3" t="s">
        <v>61</v>
      </c>
      <c r="C173" s="3" t="s">
        <v>62</v>
      </c>
      <c r="D173" s="3" t="s">
        <v>40</v>
      </c>
      <c r="E173" s="3" t="s">
        <v>0</v>
      </c>
      <c r="F173" s="23">
        <v>45869</v>
      </c>
      <c r="G173" s="3">
        <v>6252</v>
      </c>
      <c r="H173" s="6">
        <v>63306.5</v>
      </c>
      <c r="I173" s="23">
        <v>45966</v>
      </c>
      <c r="J173" s="7">
        <f t="shared" si="21"/>
        <v>2025</v>
      </c>
      <c r="K173" s="7">
        <f t="shared" si="22"/>
        <v>7</v>
      </c>
      <c r="L173" s="7">
        <f t="shared" si="23"/>
        <v>2025</v>
      </c>
      <c r="M173" s="7">
        <f t="shared" si="24"/>
        <v>11</v>
      </c>
      <c r="N173" s="7">
        <f t="shared" si="25"/>
        <v>97</v>
      </c>
    </row>
    <row r="174" spans="1:14" ht="12.75" customHeight="1" x14ac:dyDescent="0.25">
      <c r="A174" s="2" t="s">
        <v>129</v>
      </c>
      <c r="B174" s="3" t="s">
        <v>61</v>
      </c>
      <c r="C174" s="3" t="s">
        <v>62</v>
      </c>
      <c r="D174" s="3" t="s">
        <v>40</v>
      </c>
      <c r="E174" s="3" t="s">
        <v>0</v>
      </c>
      <c r="F174" s="23">
        <v>45900</v>
      </c>
      <c r="G174" s="3">
        <v>6270</v>
      </c>
      <c r="H174" s="6">
        <v>59654.5</v>
      </c>
      <c r="I174" s="23">
        <v>45932</v>
      </c>
      <c r="J174" s="7">
        <f t="shared" si="21"/>
        <v>2025</v>
      </c>
      <c r="K174" s="7">
        <f t="shared" si="22"/>
        <v>8</v>
      </c>
      <c r="L174" s="7">
        <f t="shared" si="23"/>
        <v>2025</v>
      </c>
      <c r="M174" s="7">
        <f t="shared" si="24"/>
        <v>10</v>
      </c>
      <c r="N174" s="7">
        <f t="shared" si="25"/>
        <v>32</v>
      </c>
    </row>
    <row r="175" spans="1:14" ht="12.75" customHeight="1" x14ac:dyDescent="0.25">
      <c r="A175" s="2" t="s">
        <v>129</v>
      </c>
      <c r="B175" s="3" t="s">
        <v>61</v>
      </c>
      <c r="C175" s="3" t="s">
        <v>62</v>
      </c>
      <c r="D175" s="3" t="s">
        <v>40</v>
      </c>
      <c r="E175" s="3" t="s">
        <v>0</v>
      </c>
      <c r="F175" s="23">
        <v>45930</v>
      </c>
      <c r="G175" s="3">
        <v>6283</v>
      </c>
      <c r="H175" s="6">
        <v>54320</v>
      </c>
      <c r="I175" s="23">
        <v>46022</v>
      </c>
      <c r="J175" s="7">
        <f t="shared" si="21"/>
        <v>2025</v>
      </c>
      <c r="K175" s="7">
        <f t="shared" si="22"/>
        <v>9</v>
      </c>
      <c r="L175" s="7">
        <f t="shared" si="23"/>
        <v>2025</v>
      </c>
      <c r="M175" s="7">
        <f t="shared" si="24"/>
        <v>12</v>
      </c>
      <c r="N175" s="7">
        <f t="shared" si="25"/>
        <v>92</v>
      </c>
    </row>
    <row r="176" spans="1:14" ht="12.75" customHeight="1" x14ac:dyDescent="0.25">
      <c r="A176" s="2" t="s">
        <v>129</v>
      </c>
      <c r="B176" s="3" t="s">
        <v>61</v>
      </c>
      <c r="C176" s="3" t="s">
        <v>62</v>
      </c>
      <c r="D176" s="3" t="s">
        <v>40</v>
      </c>
      <c r="E176" s="3" t="s">
        <v>0</v>
      </c>
      <c r="F176" s="23">
        <v>45961</v>
      </c>
      <c r="G176" s="3">
        <v>6305</v>
      </c>
      <c r="H176" s="6">
        <v>64084</v>
      </c>
      <c r="I176" s="23">
        <v>46010</v>
      </c>
      <c r="J176" s="7">
        <f t="shared" si="21"/>
        <v>2025</v>
      </c>
      <c r="K176" s="7">
        <f t="shared" si="22"/>
        <v>10</v>
      </c>
      <c r="L176" s="7">
        <f t="shared" si="23"/>
        <v>2025</v>
      </c>
      <c r="M176" s="7">
        <f t="shared" si="24"/>
        <v>12</v>
      </c>
      <c r="N176" s="7">
        <f t="shared" si="25"/>
        <v>49</v>
      </c>
    </row>
    <row r="177" spans="1:14" ht="12.75" customHeight="1" x14ac:dyDescent="0.25">
      <c r="A177" s="2" t="s">
        <v>129</v>
      </c>
      <c r="B177" s="3" t="s">
        <v>61</v>
      </c>
      <c r="C177" s="3" t="s">
        <v>62</v>
      </c>
      <c r="D177" s="3" t="s">
        <v>40</v>
      </c>
      <c r="E177" s="3" t="s">
        <v>0</v>
      </c>
      <c r="F177" s="23">
        <v>45991</v>
      </c>
      <c r="G177" s="3">
        <v>6320</v>
      </c>
      <c r="H177" s="6">
        <v>42408</v>
      </c>
      <c r="I177" s="26">
        <f t="shared" ref="I177:I178" si="33">+F177+32</f>
        <v>46023</v>
      </c>
      <c r="J177" s="7">
        <f t="shared" si="21"/>
        <v>2025</v>
      </c>
      <c r="K177" s="7">
        <f t="shared" si="22"/>
        <v>11</v>
      </c>
      <c r="L177" s="7">
        <f t="shared" si="23"/>
        <v>2026</v>
      </c>
      <c r="M177" s="7">
        <f t="shared" si="24"/>
        <v>1</v>
      </c>
      <c r="N177" s="7">
        <f t="shared" si="25"/>
        <v>32</v>
      </c>
    </row>
    <row r="178" spans="1:14" ht="12.75" customHeight="1" x14ac:dyDescent="0.25">
      <c r="A178" s="2" t="s">
        <v>129</v>
      </c>
      <c r="B178" s="3" t="s">
        <v>61</v>
      </c>
      <c r="C178" s="3" t="s">
        <v>62</v>
      </c>
      <c r="D178" s="3" t="s">
        <v>40</v>
      </c>
      <c r="E178" s="3" t="s">
        <v>0</v>
      </c>
      <c r="F178" s="23">
        <v>46022</v>
      </c>
      <c r="G178" s="3">
        <v>6338</v>
      </c>
      <c r="H178" s="6">
        <v>34312</v>
      </c>
      <c r="I178" s="26">
        <f t="shared" si="33"/>
        <v>46054</v>
      </c>
      <c r="J178" s="7">
        <f t="shared" si="21"/>
        <v>2025</v>
      </c>
      <c r="K178" s="7">
        <f t="shared" si="22"/>
        <v>12</v>
      </c>
      <c r="L178" s="7">
        <f t="shared" si="23"/>
        <v>2026</v>
      </c>
      <c r="M178" s="7">
        <f t="shared" si="24"/>
        <v>2</v>
      </c>
      <c r="N178" s="7">
        <f t="shared" si="25"/>
        <v>32</v>
      </c>
    </row>
    <row r="179" spans="1:14" ht="12.75" customHeight="1" x14ac:dyDescent="0.25">
      <c r="A179" s="13" t="s">
        <v>129</v>
      </c>
      <c r="B179" s="14" t="s">
        <v>61</v>
      </c>
      <c r="C179" s="14" t="s">
        <v>62</v>
      </c>
      <c r="D179" s="14" t="s">
        <v>41</v>
      </c>
      <c r="E179" s="14" t="s">
        <v>0</v>
      </c>
      <c r="F179" s="24">
        <v>46053</v>
      </c>
      <c r="G179" s="14" t="s">
        <v>32</v>
      </c>
      <c r="H179" s="15">
        <v>60000</v>
      </c>
      <c r="I179" s="26">
        <f t="shared" ref="I179:I180" si="34">+F179+32</f>
        <v>46085</v>
      </c>
      <c r="J179" s="16">
        <f t="shared" si="21"/>
        <v>2026</v>
      </c>
      <c r="K179" s="16">
        <f t="shared" si="22"/>
        <v>1</v>
      </c>
      <c r="L179" s="16">
        <f t="shared" si="23"/>
        <v>2026</v>
      </c>
      <c r="M179" s="16">
        <f t="shared" si="24"/>
        <v>3</v>
      </c>
      <c r="N179" s="16">
        <f t="shared" si="25"/>
        <v>32</v>
      </c>
    </row>
    <row r="180" spans="1:14" ht="12.75" customHeight="1" x14ac:dyDescent="0.25">
      <c r="A180" s="13" t="s">
        <v>129</v>
      </c>
      <c r="B180" s="14" t="s">
        <v>61</v>
      </c>
      <c r="C180" s="14" t="s">
        <v>62</v>
      </c>
      <c r="D180" s="14" t="s">
        <v>41</v>
      </c>
      <c r="E180" s="14" t="s">
        <v>0</v>
      </c>
      <c r="F180" s="24">
        <v>46081</v>
      </c>
      <c r="G180" s="14" t="s">
        <v>32</v>
      </c>
      <c r="H180" s="15">
        <v>60000</v>
      </c>
      <c r="I180" s="26">
        <f t="shared" si="34"/>
        <v>46113</v>
      </c>
      <c r="J180" s="16">
        <f t="shared" si="21"/>
        <v>2026</v>
      </c>
      <c r="K180" s="16">
        <f t="shared" si="22"/>
        <v>2</v>
      </c>
      <c r="L180" s="16">
        <f t="shared" si="23"/>
        <v>2026</v>
      </c>
      <c r="M180" s="16">
        <f t="shared" si="24"/>
        <v>4</v>
      </c>
      <c r="N180" s="16">
        <f t="shared" si="25"/>
        <v>32</v>
      </c>
    </row>
    <row r="181" spans="1:14" ht="12.75" customHeight="1" x14ac:dyDescent="0.25">
      <c r="A181" s="18" t="s">
        <v>132</v>
      </c>
      <c r="B181" s="19" t="s">
        <v>61</v>
      </c>
      <c r="C181" s="19" t="s">
        <v>62</v>
      </c>
      <c r="D181" s="19" t="s">
        <v>42</v>
      </c>
      <c r="E181" s="19" t="s">
        <v>0</v>
      </c>
      <c r="F181" s="25">
        <v>46112</v>
      </c>
      <c r="G181" s="19" t="s">
        <v>32</v>
      </c>
      <c r="H181" s="20">
        <v>60000</v>
      </c>
      <c r="I181" s="26">
        <f t="shared" ref="I181:I192" si="35">+F181+32</f>
        <v>46144</v>
      </c>
      <c r="J181" s="21">
        <f t="shared" si="21"/>
        <v>2026</v>
      </c>
      <c r="K181" s="21">
        <f t="shared" si="22"/>
        <v>3</v>
      </c>
      <c r="L181" s="21">
        <f t="shared" si="23"/>
        <v>2026</v>
      </c>
      <c r="M181" s="21">
        <f t="shared" si="24"/>
        <v>5</v>
      </c>
      <c r="N181" s="21">
        <f t="shared" si="25"/>
        <v>32</v>
      </c>
    </row>
    <row r="182" spans="1:14" ht="12.75" customHeight="1" x14ac:dyDescent="0.25">
      <c r="A182" s="18" t="s">
        <v>132</v>
      </c>
      <c r="B182" s="19" t="s">
        <v>61</v>
      </c>
      <c r="C182" s="19" t="s">
        <v>62</v>
      </c>
      <c r="D182" s="19" t="s">
        <v>42</v>
      </c>
      <c r="E182" s="19" t="s">
        <v>0</v>
      </c>
      <c r="F182" s="25">
        <v>46142</v>
      </c>
      <c r="G182" s="19" t="s">
        <v>32</v>
      </c>
      <c r="H182" s="20">
        <v>60000</v>
      </c>
      <c r="I182" s="26">
        <f t="shared" si="35"/>
        <v>46174</v>
      </c>
      <c r="J182" s="21">
        <f t="shared" si="21"/>
        <v>2026</v>
      </c>
      <c r="K182" s="21">
        <f t="shared" si="22"/>
        <v>4</v>
      </c>
      <c r="L182" s="21">
        <f t="shared" si="23"/>
        <v>2026</v>
      </c>
      <c r="M182" s="21">
        <f t="shared" si="24"/>
        <v>6</v>
      </c>
      <c r="N182" s="21">
        <f t="shared" si="25"/>
        <v>32</v>
      </c>
    </row>
    <row r="183" spans="1:14" ht="12.75" customHeight="1" x14ac:dyDescent="0.25">
      <c r="A183" s="18" t="s">
        <v>132</v>
      </c>
      <c r="B183" s="19" t="s">
        <v>61</v>
      </c>
      <c r="C183" s="19" t="s">
        <v>62</v>
      </c>
      <c r="D183" s="19" t="s">
        <v>42</v>
      </c>
      <c r="E183" s="19" t="s">
        <v>0</v>
      </c>
      <c r="F183" s="25">
        <v>46173</v>
      </c>
      <c r="G183" s="19" t="s">
        <v>32</v>
      </c>
      <c r="H183" s="20">
        <v>60000</v>
      </c>
      <c r="I183" s="26">
        <f t="shared" si="35"/>
        <v>46205</v>
      </c>
      <c r="J183" s="21">
        <f t="shared" si="21"/>
        <v>2026</v>
      </c>
      <c r="K183" s="21">
        <f t="shared" si="22"/>
        <v>5</v>
      </c>
      <c r="L183" s="21">
        <f t="shared" si="23"/>
        <v>2026</v>
      </c>
      <c r="M183" s="21">
        <f t="shared" si="24"/>
        <v>7</v>
      </c>
      <c r="N183" s="21">
        <f t="shared" si="25"/>
        <v>32</v>
      </c>
    </row>
    <row r="184" spans="1:14" ht="12.75" customHeight="1" x14ac:dyDescent="0.25">
      <c r="A184" s="18" t="s">
        <v>132</v>
      </c>
      <c r="B184" s="19" t="s">
        <v>61</v>
      </c>
      <c r="C184" s="19" t="s">
        <v>62</v>
      </c>
      <c r="D184" s="19" t="s">
        <v>42</v>
      </c>
      <c r="E184" s="19" t="s">
        <v>0</v>
      </c>
      <c r="F184" s="25">
        <v>46203</v>
      </c>
      <c r="G184" s="19" t="s">
        <v>32</v>
      </c>
      <c r="H184" s="20">
        <v>60000</v>
      </c>
      <c r="I184" s="26">
        <f t="shared" si="35"/>
        <v>46235</v>
      </c>
      <c r="J184" s="21">
        <f t="shared" si="21"/>
        <v>2026</v>
      </c>
      <c r="K184" s="21">
        <f t="shared" si="22"/>
        <v>6</v>
      </c>
      <c r="L184" s="21">
        <f t="shared" si="23"/>
        <v>2026</v>
      </c>
      <c r="M184" s="21">
        <f t="shared" si="24"/>
        <v>8</v>
      </c>
      <c r="N184" s="21">
        <f t="shared" si="25"/>
        <v>32</v>
      </c>
    </row>
    <row r="185" spans="1:14" ht="12.75" customHeight="1" x14ac:dyDescent="0.25">
      <c r="A185" s="18" t="s">
        <v>132</v>
      </c>
      <c r="B185" s="19" t="s">
        <v>61</v>
      </c>
      <c r="C185" s="19" t="s">
        <v>62</v>
      </c>
      <c r="D185" s="19" t="s">
        <v>42</v>
      </c>
      <c r="E185" s="19" t="s">
        <v>0</v>
      </c>
      <c r="F185" s="25">
        <v>46234</v>
      </c>
      <c r="G185" s="19" t="s">
        <v>32</v>
      </c>
      <c r="H185" s="20">
        <v>60000</v>
      </c>
      <c r="I185" s="26">
        <f t="shared" si="35"/>
        <v>46266</v>
      </c>
      <c r="J185" s="21">
        <f t="shared" si="21"/>
        <v>2026</v>
      </c>
      <c r="K185" s="21">
        <f t="shared" si="22"/>
        <v>7</v>
      </c>
      <c r="L185" s="21">
        <f t="shared" si="23"/>
        <v>2026</v>
      </c>
      <c r="M185" s="21">
        <f t="shared" si="24"/>
        <v>9</v>
      </c>
      <c r="N185" s="21">
        <f t="shared" si="25"/>
        <v>32</v>
      </c>
    </row>
    <row r="186" spans="1:14" ht="12.75" customHeight="1" x14ac:dyDescent="0.25">
      <c r="A186" s="18" t="s">
        <v>132</v>
      </c>
      <c r="B186" s="19" t="s">
        <v>61</v>
      </c>
      <c r="C186" s="19" t="s">
        <v>62</v>
      </c>
      <c r="D186" s="19" t="s">
        <v>42</v>
      </c>
      <c r="E186" s="19" t="s">
        <v>0</v>
      </c>
      <c r="F186" s="25">
        <v>46265</v>
      </c>
      <c r="G186" s="19" t="s">
        <v>32</v>
      </c>
      <c r="H186" s="20">
        <v>60000</v>
      </c>
      <c r="I186" s="26">
        <f t="shared" si="35"/>
        <v>46297</v>
      </c>
      <c r="J186" s="21">
        <f t="shared" si="21"/>
        <v>2026</v>
      </c>
      <c r="K186" s="21">
        <f t="shared" si="22"/>
        <v>8</v>
      </c>
      <c r="L186" s="21">
        <f t="shared" si="23"/>
        <v>2026</v>
      </c>
      <c r="M186" s="21">
        <f t="shared" si="24"/>
        <v>10</v>
      </c>
      <c r="N186" s="21">
        <f t="shared" si="25"/>
        <v>32</v>
      </c>
    </row>
    <row r="187" spans="1:14" ht="12.75" customHeight="1" x14ac:dyDescent="0.25">
      <c r="A187" s="18" t="s">
        <v>132</v>
      </c>
      <c r="B187" s="19" t="s">
        <v>61</v>
      </c>
      <c r="C187" s="19" t="s">
        <v>62</v>
      </c>
      <c r="D187" s="19" t="s">
        <v>42</v>
      </c>
      <c r="E187" s="19" t="s">
        <v>0</v>
      </c>
      <c r="F187" s="25">
        <v>46295</v>
      </c>
      <c r="G187" s="19" t="s">
        <v>32</v>
      </c>
      <c r="H187" s="20">
        <v>60000</v>
      </c>
      <c r="I187" s="26">
        <f t="shared" si="35"/>
        <v>46327</v>
      </c>
      <c r="J187" s="21">
        <f t="shared" si="21"/>
        <v>2026</v>
      </c>
      <c r="K187" s="21">
        <f t="shared" si="22"/>
        <v>9</v>
      </c>
      <c r="L187" s="21">
        <f t="shared" si="23"/>
        <v>2026</v>
      </c>
      <c r="M187" s="21">
        <f t="shared" si="24"/>
        <v>11</v>
      </c>
      <c r="N187" s="21">
        <f t="shared" si="25"/>
        <v>32</v>
      </c>
    </row>
    <row r="188" spans="1:14" ht="12.75" customHeight="1" x14ac:dyDescent="0.25">
      <c r="A188" s="18" t="s">
        <v>132</v>
      </c>
      <c r="B188" s="19" t="s">
        <v>61</v>
      </c>
      <c r="C188" s="19" t="s">
        <v>62</v>
      </c>
      <c r="D188" s="19" t="s">
        <v>42</v>
      </c>
      <c r="E188" s="19" t="s">
        <v>0</v>
      </c>
      <c r="F188" s="25">
        <v>46326</v>
      </c>
      <c r="G188" s="19" t="s">
        <v>32</v>
      </c>
      <c r="H188" s="20">
        <v>60000</v>
      </c>
      <c r="I188" s="26">
        <f t="shared" si="35"/>
        <v>46358</v>
      </c>
      <c r="J188" s="21">
        <f t="shared" si="21"/>
        <v>2026</v>
      </c>
      <c r="K188" s="21">
        <f t="shared" si="22"/>
        <v>10</v>
      </c>
      <c r="L188" s="21">
        <f t="shared" si="23"/>
        <v>2026</v>
      </c>
      <c r="M188" s="21">
        <f t="shared" si="24"/>
        <v>12</v>
      </c>
      <c r="N188" s="21">
        <f t="shared" si="25"/>
        <v>32</v>
      </c>
    </row>
    <row r="189" spans="1:14" ht="12.75" customHeight="1" x14ac:dyDescent="0.25">
      <c r="A189" s="18" t="s">
        <v>132</v>
      </c>
      <c r="B189" s="19" t="s">
        <v>61</v>
      </c>
      <c r="C189" s="19" t="s">
        <v>62</v>
      </c>
      <c r="D189" s="19" t="s">
        <v>42</v>
      </c>
      <c r="E189" s="19" t="s">
        <v>0</v>
      </c>
      <c r="F189" s="25">
        <v>46356</v>
      </c>
      <c r="G189" s="19" t="s">
        <v>32</v>
      </c>
      <c r="H189" s="20">
        <v>60000</v>
      </c>
      <c r="I189" s="26">
        <f t="shared" si="35"/>
        <v>46388</v>
      </c>
      <c r="J189" s="21">
        <f t="shared" si="21"/>
        <v>2026</v>
      </c>
      <c r="K189" s="21">
        <f t="shared" si="22"/>
        <v>11</v>
      </c>
      <c r="L189" s="21">
        <f t="shared" si="23"/>
        <v>2027</v>
      </c>
      <c r="M189" s="21">
        <f t="shared" si="24"/>
        <v>1</v>
      </c>
      <c r="N189" s="21">
        <f t="shared" si="25"/>
        <v>32</v>
      </c>
    </row>
    <row r="190" spans="1:14" ht="12.75" customHeight="1" x14ac:dyDescent="0.25">
      <c r="A190" s="18" t="s">
        <v>132</v>
      </c>
      <c r="B190" s="19" t="s">
        <v>61</v>
      </c>
      <c r="C190" s="19" t="s">
        <v>62</v>
      </c>
      <c r="D190" s="19" t="s">
        <v>42</v>
      </c>
      <c r="E190" s="19" t="s">
        <v>0</v>
      </c>
      <c r="F190" s="25">
        <v>46387</v>
      </c>
      <c r="G190" s="19" t="s">
        <v>32</v>
      </c>
      <c r="H190" s="20">
        <v>60000</v>
      </c>
      <c r="I190" s="26">
        <f t="shared" si="35"/>
        <v>46419</v>
      </c>
      <c r="J190" s="21">
        <f t="shared" si="21"/>
        <v>2026</v>
      </c>
      <c r="K190" s="21">
        <f t="shared" si="22"/>
        <v>12</v>
      </c>
      <c r="L190" s="21">
        <f t="shared" si="23"/>
        <v>2027</v>
      </c>
      <c r="M190" s="21">
        <f t="shared" si="24"/>
        <v>2</v>
      </c>
      <c r="N190" s="21">
        <f t="shared" si="25"/>
        <v>32</v>
      </c>
    </row>
    <row r="191" spans="1:14" ht="12.75" customHeight="1" x14ac:dyDescent="0.25">
      <c r="A191" s="18" t="s">
        <v>132</v>
      </c>
      <c r="B191" s="19" t="s">
        <v>61</v>
      </c>
      <c r="C191" s="19" t="s">
        <v>62</v>
      </c>
      <c r="D191" s="19" t="s">
        <v>42</v>
      </c>
      <c r="E191" s="19" t="s">
        <v>0</v>
      </c>
      <c r="F191" s="25">
        <v>46418</v>
      </c>
      <c r="G191" s="19" t="s">
        <v>32</v>
      </c>
      <c r="H191" s="20">
        <v>60000</v>
      </c>
      <c r="I191" s="26">
        <f t="shared" si="35"/>
        <v>46450</v>
      </c>
      <c r="J191" s="21">
        <f t="shared" si="21"/>
        <v>2027</v>
      </c>
      <c r="K191" s="21">
        <f t="shared" si="22"/>
        <v>1</v>
      </c>
      <c r="L191" s="21">
        <f t="shared" si="23"/>
        <v>2027</v>
      </c>
      <c r="M191" s="21">
        <f t="shared" si="24"/>
        <v>3</v>
      </c>
      <c r="N191" s="21">
        <f t="shared" si="25"/>
        <v>32</v>
      </c>
    </row>
    <row r="192" spans="1:14" ht="12.75" customHeight="1" x14ac:dyDescent="0.25">
      <c r="A192" s="18" t="s">
        <v>132</v>
      </c>
      <c r="B192" s="19" t="s">
        <v>61</v>
      </c>
      <c r="C192" s="19" t="s">
        <v>62</v>
      </c>
      <c r="D192" s="19" t="s">
        <v>42</v>
      </c>
      <c r="E192" s="19" t="s">
        <v>0</v>
      </c>
      <c r="F192" s="25">
        <v>46446</v>
      </c>
      <c r="G192" s="19" t="s">
        <v>32</v>
      </c>
      <c r="H192" s="20">
        <v>60000</v>
      </c>
      <c r="I192" s="26">
        <f t="shared" si="35"/>
        <v>46478</v>
      </c>
      <c r="J192" s="21">
        <f t="shared" si="21"/>
        <v>2027</v>
      </c>
      <c r="K192" s="21">
        <f t="shared" si="22"/>
        <v>2</v>
      </c>
      <c r="L192" s="21">
        <f t="shared" si="23"/>
        <v>2027</v>
      </c>
      <c r="M192" s="21">
        <f t="shared" si="24"/>
        <v>4</v>
      </c>
      <c r="N192" s="21">
        <f t="shared" si="25"/>
        <v>32</v>
      </c>
    </row>
    <row r="193" spans="1:14" ht="12.75" customHeight="1" x14ac:dyDescent="0.25">
      <c r="A193" s="2" t="s">
        <v>5</v>
      </c>
      <c r="B193" s="3" t="s">
        <v>61</v>
      </c>
      <c r="C193" s="3" t="s">
        <v>62</v>
      </c>
      <c r="D193" s="3" t="s">
        <v>40</v>
      </c>
      <c r="E193" s="3" t="s">
        <v>0</v>
      </c>
      <c r="F193" s="23">
        <v>45658</v>
      </c>
      <c r="G193" s="3">
        <v>6144</v>
      </c>
      <c r="H193" s="6">
        <v>14500</v>
      </c>
      <c r="I193" s="23">
        <v>45681</v>
      </c>
      <c r="J193" s="7">
        <f t="shared" si="21"/>
        <v>2025</v>
      </c>
      <c r="K193" s="7">
        <f t="shared" si="22"/>
        <v>1</v>
      </c>
      <c r="L193" s="7">
        <f t="shared" si="23"/>
        <v>2025</v>
      </c>
      <c r="M193" s="7">
        <f t="shared" si="24"/>
        <v>1</v>
      </c>
      <c r="N193" s="7">
        <f t="shared" si="25"/>
        <v>23</v>
      </c>
    </row>
    <row r="194" spans="1:14" ht="12.75" customHeight="1" x14ac:dyDescent="0.25">
      <c r="A194" s="2" t="s">
        <v>5</v>
      </c>
      <c r="B194" s="3" t="s">
        <v>61</v>
      </c>
      <c r="C194" s="3" t="s">
        <v>62</v>
      </c>
      <c r="D194" s="3" t="s">
        <v>40</v>
      </c>
      <c r="E194" s="3" t="s">
        <v>0</v>
      </c>
      <c r="F194" s="23">
        <v>45689</v>
      </c>
      <c r="G194" s="3">
        <v>6159</v>
      </c>
      <c r="H194" s="6">
        <v>14500</v>
      </c>
      <c r="I194" s="23">
        <v>45714</v>
      </c>
      <c r="J194" s="7">
        <f t="shared" si="21"/>
        <v>2025</v>
      </c>
      <c r="K194" s="7">
        <f t="shared" si="22"/>
        <v>2</v>
      </c>
      <c r="L194" s="7">
        <f t="shared" si="23"/>
        <v>2025</v>
      </c>
      <c r="M194" s="7">
        <f t="shared" si="24"/>
        <v>2</v>
      </c>
      <c r="N194" s="7">
        <f t="shared" si="25"/>
        <v>25</v>
      </c>
    </row>
    <row r="195" spans="1:14" ht="12.75" customHeight="1" x14ac:dyDescent="0.25">
      <c r="A195" s="2" t="s">
        <v>5</v>
      </c>
      <c r="B195" s="3" t="s">
        <v>61</v>
      </c>
      <c r="C195" s="3" t="s">
        <v>62</v>
      </c>
      <c r="D195" s="3" t="s">
        <v>40</v>
      </c>
      <c r="E195" s="3" t="s">
        <v>0</v>
      </c>
      <c r="F195" s="23">
        <v>45717</v>
      </c>
      <c r="G195" s="3">
        <v>6173</v>
      </c>
      <c r="H195" s="6">
        <v>14500</v>
      </c>
      <c r="I195" s="23">
        <v>45742</v>
      </c>
      <c r="J195" s="7">
        <f t="shared" ref="J195:J258" si="36">YEAR(F195)</f>
        <v>2025</v>
      </c>
      <c r="K195" s="7">
        <f t="shared" ref="K195:K258" si="37">MONTH(F195)</f>
        <v>3</v>
      </c>
      <c r="L195" s="7">
        <f t="shared" ref="L195:L258" si="38">YEAR(I195)</f>
        <v>2025</v>
      </c>
      <c r="M195" s="7">
        <f t="shared" ref="M195:M258" si="39">MONTH(I195)</f>
        <v>3</v>
      </c>
      <c r="N195" s="7">
        <f t="shared" ref="N195:N258" si="40">+I195-F195</f>
        <v>25</v>
      </c>
    </row>
    <row r="196" spans="1:14" ht="12.75" customHeight="1" x14ac:dyDescent="0.25">
      <c r="A196" s="2" t="s">
        <v>5</v>
      </c>
      <c r="B196" s="3" t="s">
        <v>61</v>
      </c>
      <c r="C196" s="3" t="s">
        <v>62</v>
      </c>
      <c r="D196" s="3" t="s">
        <v>40</v>
      </c>
      <c r="E196" s="3" t="s">
        <v>0</v>
      </c>
      <c r="F196" s="23">
        <v>45748</v>
      </c>
      <c r="G196" s="3">
        <v>6191</v>
      </c>
      <c r="H196" s="6">
        <v>14500</v>
      </c>
      <c r="I196" s="23">
        <v>45776</v>
      </c>
      <c r="J196" s="7">
        <f t="shared" si="36"/>
        <v>2025</v>
      </c>
      <c r="K196" s="7">
        <f t="shared" si="37"/>
        <v>4</v>
      </c>
      <c r="L196" s="7">
        <f t="shared" si="38"/>
        <v>2025</v>
      </c>
      <c r="M196" s="7">
        <f t="shared" si="39"/>
        <v>4</v>
      </c>
      <c r="N196" s="7">
        <f t="shared" si="40"/>
        <v>28</v>
      </c>
    </row>
    <row r="197" spans="1:14" ht="12.75" customHeight="1" x14ac:dyDescent="0.25">
      <c r="A197" s="2" t="s">
        <v>5</v>
      </c>
      <c r="B197" s="3" t="s">
        <v>61</v>
      </c>
      <c r="C197" s="3" t="s">
        <v>62</v>
      </c>
      <c r="D197" s="3" t="s">
        <v>40</v>
      </c>
      <c r="E197" s="3" t="s">
        <v>0</v>
      </c>
      <c r="F197" s="23">
        <v>45778</v>
      </c>
      <c r="G197" s="3">
        <v>6203</v>
      </c>
      <c r="H197" s="6">
        <v>14500</v>
      </c>
      <c r="I197" s="23">
        <v>45809</v>
      </c>
      <c r="J197" s="7">
        <f t="shared" si="36"/>
        <v>2025</v>
      </c>
      <c r="K197" s="7">
        <f t="shared" si="37"/>
        <v>5</v>
      </c>
      <c r="L197" s="7">
        <f t="shared" si="38"/>
        <v>2025</v>
      </c>
      <c r="M197" s="7">
        <f t="shared" si="39"/>
        <v>6</v>
      </c>
      <c r="N197" s="7">
        <f t="shared" si="40"/>
        <v>31</v>
      </c>
    </row>
    <row r="198" spans="1:14" ht="12.75" customHeight="1" x14ac:dyDescent="0.25">
      <c r="A198" s="2" t="s">
        <v>5</v>
      </c>
      <c r="B198" s="3" t="s">
        <v>61</v>
      </c>
      <c r="C198" s="3" t="s">
        <v>62</v>
      </c>
      <c r="D198" s="3" t="s">
        <v>40</v>
      </c>
      <c r="E198" s="3" t="s">
        <v>0</v>
      </c>
      <c r="F198" s="23">
        <v>45809</v>
      </c>
      <c r="G198" s="3">
        <v>6217</v>
      </c>
      <c r="H198" s="6">
        <v>14500</v>
      </c>
      <c r="I198" s="23">
        <v>45839</v>
      </c>
      <c r="J198" s="7">
        <f t="shared" si="36"/>
        <v>2025</v>
      </c>
      <c r="K198" s="7">
        <f t="shared" si="37"/>
        <v>6</v>
      </c>
      <c r="L198" s="7">
        <f t="shared" si="38"/>
        <v>2025</v>
      </c>
      <c r="M198" s="7">
        <f t="shared" si="39"/>
        <v>7</v>
      </c>
      <c r="N198" s="7">
        <f t="shared" si="40"/>
        <v>30</v>
      </c>
    </row>
    <row r="199" spans="1:14" ht="12.75" customHeight="1" x14ac:dyDescent="0.25">
      <c r="A199" s="2" t="s">
        <v>5</v>
      </c>
      <c r="B199" s="3" t="s">
        <v>61</v>
      </c>
      <c r="C199" s="3" t="s">
        <v>62</v>
      </c>
      <c r="D199" s="3" t="s">
        <v>40</v>
      </c>
      <c r="E199" s="3" t="s">
        <v>0</v>
      </c>
      <c r="F199" s="23">
        <v>45839</v>
      </c>
      <c r="G199" s="3">
        <v>6232</v>
      </c>
      <c r="H199" s="6">
        <v>14500</v>
      </c>
      <c r="I199" s="23">
        <v>45867</v>
      </c>
      <c r="J199" s="7">
        <f t="shared" si="36"/>
        <v>2025</v>
      </c>
      <c r="K199" s="7">
        <f t="shared" si="37"/>
        <v>7</v>
      </c>
      <c r="L199" s="7">
        <f t="shared" si="38"/>
        <v>2025</v>
      </c>
      <c r="M199" s="7">
        <f t="shared" si="39"/>
        <v>7</v>
      </c>
      <c r="N199" s="7">
        <f t="shared" si="40"/>
        <v>28</v>
      </c>
    </row>
    <row r="200" spans="1:14" ht="12.75" customHeight="1" x14ac:dyDescent="0.25">
      <c r="A200" s="2" t="s">
        <v>34</v>
      </c>
      <c r="B200" s="3" t="s">
        <v>64</v>
      </c>
      <c r="C200" s="3" t="s">
        <v>62</v>
      </c>
      <c r="D200" s="3" t="s">
        <v>40</v>
      </c>
      <c r="E200" s="3" t="s">
        <v>0</v>
      </c>
      <c r="F200" s="23">
        <v>45870</v>
      </c>
      <c r="G200" s="3">
        <v>6248</v>
      </c>
      <c r="H200" s="6">
        <v>14500</v>
      </c>
      <c r="I200" s="23">
        <v>45897</v>
      </c>
      <c r="J200" s="7">
        <f t="shared" si="36"/>
        <v>2025</v>
      </c>
      <c r="K200" s="7">
        <f t="shared" si="37"/>
        <v>8</v>
      </c>
      <c r="L200" s="7">
        <f t="shared" si="38"/>
        <v>2025</v>
      </c>
      <c r="M200" s="7">
        <f t="shared" si="39"/>
        <v>8</v>
      </c>
      <c r="N200" s="7">
        <f t="shared" si="40"/>
        <v>27</v>
      </c>
    </row>
    <row r="201" spans="1:14" ht="12.75" customHeight="1" x14ac:dyDescent="0.25">
      <c r="A201" s="2" t="s">
        <v>34</v>
      </c>
      <c r="B201" s="3" t="s">
        <v>64</v>
      </c>
      <c r="C201" s="3" t="s">
        <v>62</v>
      </c>
      <c r="D201" s="3" t="s">
        <v>40</v>
      </c>
      <c r="E201" s="3" t="s">
        <v>0</v>
      </c>
      <c r="F201" s="23">
        <v>45901</v>
      </c>
      <c r="G201" s="3">
        <v>6266</v>
      </c>
      <c r="H201" s="6">
        <v>14500</v>
      </c>
      <c r="I201" s="23">
        <v>45931</v>
      </c>
      <c r="J201" s="7">
        <f t="shared" si="36"/>
        <v>2025</v>
      </c>
      <c r="K201" s="7">
        <f t="shared" si="37"/>
        <v>9</v>
      </c>
      <c r="L201" s="7">
        <f t="shared" si="38"/>
        <v>2025</v>
      </c>
      <c r="M201" s="7">
        <f t="shared" si="39"/>
        <v>10</v>
      </c>
      <c r="N201" s="7">
        <f t="shared" si="40"/>
        <v>30</v>
      </c>
    </row>
    <row r="202" spans="1:14" ht="12.75" customHeight="1" x14ac:dyDescent="0.25">
      <c r="A202" s="2" t="s">
        <v>34</v>
      </c>
      <c r="B202" s="3" t="s">
        <v>64</v>
      </c>
      <c r="C202" s="3" t="s">
        <v>62</v>
      </c>
      <c r="D202" s="3" t="s">
        <v>40</v>
      </c>
      <c r="E202" s="3" t="s">
        <v>0</v>
      </c>
      <c r="F202" s="23">
        <v>45931</v>
      </c>
      <c r="G202" s="3">
        <v>6279</v>
      </c>
      <c r="H202" s="6">
        <v>14500</v>
      </c>
      <c r="I202" s="23">
        <v>45965</v>
      </c>
      <c r="J202" s="7">
        <f t="shared" si="36"/>
        <v>2025</v>
      </c>
      <c r="K202" s="7">
        <f t="shared" si="37"/>
        <v>10</v>
      </c>
      <c r="L202" s="7">
        <f t="shared" si="38"/>
        <v>2025</v>
      </c>
      <c r="M202" s="7">
        <f t="shared" si="39"/>
        <v>11</v>
      </c>
      <c r="N202" s="7">
        <f t="shared" si="40"/>
        <v>34</v>
      </c>
    </row>
    <row r="203" spans="1:14" ht="12.75" customHeight="1" x14ac:dyDescent="0.25">
      <c r="A203" s="2" t="s">
        <v>34</v>
      </c>
      <c r="B203" s="3" t="s">
        <v>64</v>
      </c>
      <c r="C203" s="3" t="s">
        <v>62</v>
      </c>
      <c r="D203" s="3" t="s">
        <v>40</v>
      </c>
      <c r="E203" s="3" t="s">
        <v>0</v>
      </c>
      <c r="F203" s="23">
        <v>45962</v>
      </c>
      <c r="G203" s="3">
        <v>6296</v>
      </c>
      <c r="H203" s="6">
        <v>14500</v>
      </c>
      <c r="I203" s="23">
        <v>45975</v>
      </c>
      <c r="J203" s="7">
        <f t="shared" si="36"/>
        <v>2025</v>
      </c>
      <c r="K203" s="7">
        <f t="shared" si="37"/>
        <v>11</v>
      </c>
      <c r="L203" s="7">
        <f t="shared" si="38"/>
        <v>2025</v>
      </c>
      <c r="M203" s="7">
        <f t="shared" si="39"/>
        <v>11</v>
      </c>
      <c r="N203" s="7">
        <f t="shared" si="40"/>
        <v>13</v>
      </c>
    </row>
    <row r="204" spans="1:14" ht="12.75" customHeight="1" x14ac:dyDescent="0.25">
      <c r="A204" s="2" t="s">
        <v>34</v>
      </c>
      <c r="B204" s="3" t="s">
        <v>64</v>
      </c>
      <c r="C204" s="3" t="s">
        <v>62</v>
      </c>
      <c r="D204" s="3" t="s">
        <v>40</v>
      </c>
      <c r="E204" s="3" t="s">
        <v>0</v>
      </c>
      <c r="F204" s="23">
        <v>45992</v>
      </c>
      <c r="G204" s="3">
        <v>6314</v>
      </c>
      <c r="H204" s="6">
        <v>14500</v>
      </c>
      <c r="I204" s="23">
        <v>46007</v>
      </c>
      <c r="J204" s="7">
        <f t="shared" si="36"/>
        <v>2025</v>
      </c>
      <c r="K204" s="7">
        <f t="shared" si="37"/>
        <v>12</v>
      </c>
      <c r="L204" s="7">
        <f t="shared" si="38"/>
        <v>2025</v>
      </c>
      <c r="M204" s="7">
        <f t="shared" si="39"/>
        <v>12</v>
      </c>
      <c r="N204" s="7">
        <f t="shared" si="40"/>
        <v>15</v>
      </c>
    </row>
    <row r="205" spans="1:14" ht="12.75" customHeight="1" x14ac:dyDescent="0.25">
      <c r="A205" s="2" t="s">
        <v>34</v>
      </c>
      <c r="B205" s="3" t="s">
        <v>64</v>
      </c>
      <c r="C205" s="3" t="s">
        <v>62</v>
      </c>
      <c r="D205" s="3" t="s">
        <v>40</v>
      </c>
      <c r="E205" s="3" t="s">
        <v>0</v>
      </c>
      <c r="F205" s="23">
        <v>46023</v>
      </c>
      <c r="G205" s="3">
        <v>6334</v>
      </c>
      <c r="H205" s="6">
        <v>14500</v>
      </c>
      <c r="I205" s="26">
        <f t="shared" ref="I205:I211" si="41">+F205+32</f>
        <v>46055</v>
      </c>
      <c r="J205" s="7">
        <f t="shared" si="36"/>
        <v>2026</v>
      </c>
      <c r="K205" s="7">
        <f t="shared" si="37"/>
        <v>1</v>
      </c>
      <c r="L205" s="7">
        <f t="shared" si="38"/>
        <v>2026</v>
      </c>
      <c r="M205" s="7">
        <f t="shared" si="39"/>
        <v>2</v>
      </c>
      <c r="N205" s="7">
        <f t="shared" si="40"/>
        <v>32</v>
      </c>
    </row>
    <row r="206" spans="1:14" ht="12.75" customHeight="1" x14ac:dyDescent="0.25">
      <c r="A206" s="13" t="s">
        <v>34</v>
      </c>
      <c r="B206" s="14" t="s">
        <v>64</v>
      </c>
      <c r="C206" s="14" t="s">
        <v>62</v>
      </c>
      <c r="D206" s="14" t="s">
        <v>41</v>
      </c>
      <c r="E206" s="14" t="s">
        <v>0</v>
      </c>
      <c r="F206" s="24">
        <v>46054</v>
      </c>
      <c r="G206" s="14" t="s">
        <v>32</v>
      </c>
      <c r="H206" s="15">
        <v>14500</v>
      </c>
      <c r="I206" s="26">
        <f t="shared" si="41"/>
        <v>46086</v>
      </c>
      <c r="J206" s="16">
        <f t="shared" si="36"/>
        <v>2026</v>
      </c>
      <c r="K206" s="16">
        <f t="shared" si="37"/>
        <v>2</v>
      </c>
      <c r="L206" s="16">
        <f t="shared" si="38"/>
        <v>2026</v>
      </c>
      <c r="M206" s="16">
        <f t="shared" si="39"/>
        <v>3</v>
      </c>
      <c r="N206" s="16">
        <f t="shared" si="40"/>
        <v>32</v>
      </c>
    </row>
    <row r="207" spans="1:14" ht="12.75" customHeight="1" x14ac:dyDescent="0.25">
      <c r="A207" s="13" t="s">
        <v>34</v>
      </c>
      <c r="B207" s="14" t="s">
        <v>64</v>
      </c>
      <c r="C207" s="14" t="s">
        <v>62</v>
      </c>
      <c r="D207" s="14" t="s">
        <v>41</v>
      </c>
      <c r="E207" s="14" t="s">
        <v>0</v>
      </c>
      <c r="F207" s="24">
        <v>46082</v>
      </c>
      <c r="G207" s="14" t="s">
        <v>32</v>
      </c>
      <c r="H207" s="15">
        <v>14500</v>
      </c>
      <c r="I207" s="26">
        <f t="shared" si="41"/>
        <v>46114</v>
      </c>
      <c r="J207" s="16">
        <f t="shared" si="36"/>
        <v>2026</v>
      </c>
      <c r="K207" s="16">
        <f t="shared" si="37"/>
        <v>3</v>
      </c>
      <c r="L207" s="16">
        <f t="shared" si="38"/>
        <v>2026</v>
      </c>
      <c r="M207" s="16">
        <f t="shared" si="39"/>
        <v>4</v>
      </c>
      <c r="N207" s="16">
        <f t="shared" si="40"/>
        <v>32</v>
      </c>
    </row>
    <row r="208" spans="1:14" ht="12.75" customHeight="1" x14ac:dyDescent="0.25">
      <c r="A208" s="13" t="s">
        <v>34</v>
      </c>
      <c r="B208" s="14" t="s">
        <v>64</v>
      </c>
      <c r="C208" s="14" t="s">
        <v>62</v>
      </c>
      <c r="D208" s="14" t="s">
        <v>41</v>
      </c>
      <c r="E208" s="14" t="s">
        <v>0</v>
      </c>
      <c r="F208" s="24">
        <v>46113</v>
      </c>
      <c r="G208" s="14" t="s">
        <v>32</v>
      </c>
      <c r="H208" s="15">
        <v>14500</v>
      </c>
      <c r="I208" s="26">
        <f t="shared" si="41"/>
        <v>46145</v>
      </c>
      <c r="J208" s="16">
        <f t="shared" si="36"/>
        <v>2026</v>
      </c>
      <c r="K208" s="16">
        <f t="shared" si="37"/>
        <v>4</v>
      </c>
      <c r="L208" s="16">
        <f t="shared" si="38"/>
        <v>2026</v>
      </c>
      <c r="M208" s="16">
        <f t="shared" si="39"/>
        <v>5</v>
      </c>
      <c r="N208" s="16">
        <f t="shared" si="40"/>
        <v>32</v>
      </c>
    </row>
    <row r="209" spans="1:14" ht="12.75" customHeight="1" x14ac:dyDescent="0.25">
      <c r="A209" s="13" t="s">
        <v>34</v>
      </c>
      <c r="B209" s="14" t="s">
        <v>64</v>
      </c>
      <c r="C209" s="14" t="s">
        <v>62</v>
      </c>
      <c r="D209" s="14" t="s">
        <v>41</v>
      </c>
      <c r="E209" s="14" t="s">
        <v>0</v>
      </c>
      <c r="F209" s="24">
        <v>46143</v>
      </c>
      <c r="G209" s="14" t="s">
        <v>32</v>
      </c>
      <c r="H209" s="15">
        <v>14500</v>
      </c>
      <c r="I209" s="26">
        <f t="shared" si="41"/>
        <v>46175</v>
      </c>
      <c r="J209" s="16">
        <f t="shared" si="36"/>
        <v>2026</v>
      </c>
      <c r="K209" s="16">
        <f t="shared" si="37"/>
        <v>5</v>
      </c>
      <c r="L209" s="16">
        <f t="shared" si="38"/>
        <v>2026</v>
      </c>
      <c r="M209" s="16">
        <f t="shared" si="39"/>
        <v>6</v>
      </c>
      <c r="N209" s="16">
        <f t="shared" si="40"/>
        <v>32</v>
      </c>
    </row>
    <row r="210" spans="1:14" ht="12.75" customHeight="1" x14ac:dyDescent="0.25">
      <c r="A210" s="13" t="s">
        <v>34</v>
      </c>
      <c r="B210" s="14" t="s">
        <v>64</v>
      </c>
      <c r="C210" s="14" t="s">
        <v>62</v>
      </c>
      <c r="D210" s="14" t="s">
        <v>41</v>
      </c>
      <c r="E210" s="14" t="s">
        <v>0</v>
      </c>
      <c r="F210" s="24">
        <v>46174</v>
      </c>
      <c r="G210" s="14" t="s">
        <v>32</v>
      </c>
      <c r="H210" s="15">
        <v>14500</v>
      </c>
      <c r="I210" s="26">
        <f t="shared" si="41"/>
        <v>46206</v>
      </c>
      <c r="J210" s="16">
        <f t="shared" si="36"/>
        <v>2026</v>
      </c>
      <c r="K210" s="16">
        <f t="shared" si="37"/>
        <v>6</v>
      </c>
      <c r="L210" s="16">
        <f t="shared" si="38"/>
        <v>2026</v>
      </c>
      <c r="M210" s="16">
        <f t="shared" si="39"/>
        <v>7</v>
      </c>
      <c r="N210" s="16">
        <f t="shared" si="40"/>
        <v>32</v>
      </c>
    </row>
    <row r="211" spans="1:14" ht="12.75" customHeight="1" x14ac:dyDescent="0.25">
      <c r="A211" s="13" t="s">
        <v>34</v>
      </c>
      <c r="B211" s="14" t="s">
        <v>64</v>
      </c>
      <c r="C211" s="14" t="s">
        <v>62</v>
      </c>
      <c r="D211" s="14" t="s">
        <v>41</v>
      </c>
      <c r="E211" s="14" t="s">
        <v>0</v>
      </c>
      <c r="F211" s="24">
        <v>46204</v>
      </c>
      <c r="G211" s="14" t="s">
        <v>32</v>
      </c>
      <c r="H211" s="15">
        <v>14500</v>
      </c>
      <c r="I211" s="26">
        <f t="shared" si="41"/>
        <v>46236</v>
      </c>
      <c r="J211" s="16">
        <f t="shared" si="36"/>
        <v>2026</v>
      </c>
      <c r="K211" s="16">
        <f t="shared" si="37"/>
        <v>7</v>
      </c>
      <c r="L211" s="16">
        <f t="shared" si="38"/>
        <v>2026</v>
      </c>
      <c r="M211" s="16">
        <f t="shared" si="39"/>
        <v>8</v>
      </c>
      <c r="N211" s="16">
        <f t="shared" si="40"/>
        <v>32</v>
      </c>
    </row>
    <row r="212" spans="1:14" ht="12.75" customHeight="1" x14ac:dyDescent="0.25">
      <c r="A212" s="2" t="s">
        <v>107</v>
      </c>
      <c r="B212" s="3" t="s">
        <v>64</v>
      </c>
      <c r="C212" s="3" t="s">
        <v>68</v>
      </c>
      <c r="D212" s="3" t="s">
        <v>40</v>
      </c>
      <c r="E212" s="3" t="s">
        <v>0</v>
      </c>
      <c r="F212" s="23">
        <v>45938</v>
      </c>
      <c r="G212" s="3">
        <v>6290</v>
      </c>
      <c r="H212" s="6">
        <v>100000</v>
      </c>
      <c r="I212" s="23">
        <v>45982</v>
      </c>
      <c r="J212" s="7">
        <f t="shared" si="36"/>
        <v>2025</v>
      </c>
      <c r="K212" s="7">
        <f t="shared" si="37"/>
        <v>10</v>
      </c>
      <c r="L212" s="7">
        <f t="shared" si="38"/>
        <v>2025</v>
      </c>
      <c r="M212" s="7">
        <f t="shared" si="39"/>
        <v>11</v>
      </c>
      <c r="N212" s="7">
        <f t="shared" si="40"/>
        <v>44</v>
      </c>
    </row>
    <row r="213" spans="1:14" ht="12.75" customHeight="1" x14ac:dyDescent="0.25">
      <c r="A213" s="2" t="s">
        <v>107</v>
      </c>
      <c r="B213" s="3" t="s">
        <v>64</v>
      </c>
      <c r="C213" s="3" t="s">
        <v>68</v>
      </c>
      <c r="D213" s="3" t="s">
        <v>40</v>
      </c>
      <c r="E213" s="3" t="s">
        <v>0</v>
      </c>
      <c r="F213" s="23">
        <v>45968</v>
      </c>
      <c r="G213" s="3">
        <v>6323</v>
      </c>
      <c r="H213" s="6">
        <v>25000</v>
      </c>
      <c r="I213" s="26">
        <f t="shared" ref="I213:I215" si="42">+F213+60</f>
        <v>46028</v>
      </c>
      <c r="J213" s="7">
        <f t="shared" si="36"/>
        <v>2025</v>
      </c>
      <c r="K213" s="7">
        <f t="shared" si="37"/>
        <v>11</v>
      </c>
      <c r="L213" s="7">
        <f t="shared" si="38"/>
        <v>2026</v>
      </c>
      <c r="M213" s="7">
        <f t="shared" si="39"/>
        <v>1</v>
      </c>
      <c r="N213" s="7">
        <f t="shared" si="40"/>
        <v>60</v>
      </c>
    </row>
    <row r="214" spans="1:14" ht="12.75" customHeight="1" x14ac:dyDescent="0.25">
      <c r="A214" s="2" t="s">
        <v>107</v>
      </c>
      <c r="B214" s="3" t="s">
        <v>64</v>
      </c>
      <c r="C214" s="3" t="s">
        <v>68</v>
      </c>
      <c r="D214" s="3" t="s">
        <v>40</v>
      </c>
      <c r="E214" s="3" t="s">
        <v>0</v>
      </c>
      <c r="F214" s="23">
        <v>46363</v>
      </c>
      <c r="G214" s="3">
        <v>6324</v>
      </c>
      <c r="H214" s="6">
        <v>25000</v>
      </c>
      <c r="I214" s="26">
        <f>+F214+30</f>
        <v>46393</v>
      </c>
      <c r="J214" s="7">
        <f t="shared" si="36"/>
        <v>2026</v>
      </c>
      <c r="K214" s="7">
        <f t="shared" si="37"/>
        <v>12</v>
      </c>
      <c r="L214" s="7">
        <f t="shared" si="38"/>
        <v>2027</v>
      </c>
      <c r="M214" s="7">
        <f t="shared" si="39"/>
        <v>1</v>
      </c>
      <c r="N214" s="7">
        <f t="shared" si="40"/>
        <v>30</v>
      </c>
    </row>
    <row r="215" spans="1:14" ht="12.75" customHeight="1" x14ac:dyDescent="0.25">
      <c r="A215" s="13" t="s">
        <v>107</v>
      </c>
      <c r="B215" s="14" t="s">
        <v>64</v>
      </c>
      <c r="C215" s="14" t="s">
        <v>68</v>
      </c>
      <c r="D215" s="14" t="s">
        <v>41</v>
      </c>
      <c r="E215" s="14" t="s">
        <v>0</v>
      </c>
      <c r="F215" s="24">
        <v>46081</v>
      </c>
      <c r="G215" s="14" t="s">
        <v>32</v>
      </c>
      <c r="H215" s="15">
        <v>25000</v>
      </c>
      <c r="I215" s="26">
        <f t="shared" si="42"/>
        <v>46141</v>
      </c>
      <c r="J215" s="16">
        <f t="shared" si="36"/>
        <v>2026</v>
      </c>
      <c r="K215" s="16">
        <f t="shared" si="37"/>
        <v>2</v>
      </c>
      <c r="L215" s="16">
        <f t="shared" si="38"/>
        <v>2026</v>
      </c>
      <c r="M215" s="16">
        <f t="shared" si="39"/>
        <v>4</v>
      </c>
      <c r="N215" s="16">
        <f t="shared" si="40"/>
        <v>60</v>
      </c>
    </row>
    <row r="216" spans="1:14" ht="12.75" customHeight="1" x14ac:dyDescent="0.25">
      <c r="A216" s="13" t="s">
        <v>106</v>
      </c>
      <c r="B216" s="14" t="s">
        <v>64</v>
      </c>
      <c r="C216" s="14" t="s">
        <v>68</v>
      </c>
      <c r="D216" s="14" t="s">
        <v>41</v>
      </c>
      <c r="E216" s="14" t="s">
        <v>0</v>
      </c>
      <c r="F216" s="24">
        <v>46112</v>
      </c>
      <c r="G216" s="14" t="s">
        <v>32</v>
      </c>
      <c r="H216" s="15">
        <v>25000</v>
      </c>
      <c r="I216" s="26">
        <f t="shared" ref="I216:I222" si="43">+F216+60</f>
        <v>46172</v>
      </c>
      <c r="J216" s="16">
        <f t="shared" si="36"/>
        <v>2026</v>
      </c>
      <c r="K216" s="16">
        <f t="shared" si="37"/>
        <v>3</v>
      </c>
      <c r="L216" s="16">
        <f t="shared" si="38"/>
        <v>2026</v>
      </c>
      <c r="M216" s="16">
        <f t="shared" si="39"/>
        <v>5</v>
      </c>
      <c r="N216" s="16">
        <f t="shared" si="40"/>
        <v>60</v>
      </c>
    </row>
    <row r="217" spans="1:14" ht="12.75" customHeight="1" x14ac:dyDescent="0.25">
      <c r="A217" s="13" t="s">
        <v>106</v>
      </c>
      <c r="B217" s="14" t="s">
        <v>64</v>
      </c>
      <c r="C217" s="14" t="s">
        <v>68</v>
      </c>
      <c r="D217" s="14" t="s">
        <v>41</v>
      </c>
      <c r="E217" s="14" t="s">
        <v>0</v>
      </c>
      <c r="F217" s="24">
        <v>46142</v>
      </c>
      <c r="G217" s="14" t="s">
        <v>32</v>
      </c>
      <c r="H217" s="15">
        <v>25000</v>
      </c>
      <c r="I217" s="26">
        <f t="shared" si="43"/>
        <v>46202</v>
      </c>
      <c r="J217" s="16">
        <f t="shared" si="36"/>
        <v>2026</v>
      </c>
      <c r="K217" s="16">
        <f t="shared" si="37"/>
        <v>4</v>
      </c>
      <c r="L217" s="16">
        <f t="shared" si="38"/>
        <v>2026</v>
      </c>
      <c r="M217" s="16">
        <f t="shared" si="39"/>
        <v>6</v>
      </c>
      <c r="N217" s="16">
        <f t="shared" si="40"/>
        <v>60</v>
      </c>
    </row>
    <row r="218" spans="1:14" ht="12.75" customHeight="1" x14ac:dyDescent="0.25">
      <c r="A218" s="13" t="s">
        <v>106</v>
      </c>
      <c r="B218" s="14" t="s">
        <v>64</v>
      </c>
      <c r="C218" s="14" t="s">
        <v>68</v>
      </c>
      <c r="D218" s="14" t="s">
        <v>41</v>
      </c>
      <c r="E218" s="14" t="s">
        <v>0</v>
      </c>
      <c r="F218" s="24">
        <v>46173</v>
      </c>
      <c r="G218" s="14" t="s">
        <v>32</v>
      </c>
      <c r="H218" s="15">
        <v>25000</v>
      </c>
      <c r="I218" s="26">
        <f t="shared" si="43"/>
        <v>46233</v>
      </c>
      <c r="J218" s="16">
        <f t="shared" si="36"/>
        <v>2026</v>
      </c>
      <c r="K218" s="16">
        <f t="shared" si="37"/>
        <v>5</v>
      </c>
      <c r="L218" s="16">
        <f t="shared" si="38"/>
        <v>2026</v>
      </c>
      <c r="M218" s="16">
        <f t="shared" si="39"/>
        <v>7</v>
      </c>
      <c r="N218" s="16">
        <f t="shared" si="40"/>
        <v>60</v>
      </c>
    </row>
    <row r="219" spans="1:14" ht="12.75" customHeight="1" x14ac:dyDescent="0.25">
      <c r="A219" s="13" t="s">
        <v>105</v>
      </c>
      <c r="B219" s="14" t="s">
        <v>64</v>
      </c>
      <c r="C219" s="14" t="s">
        <v>68</v>
      </c>
      <c r="D219" s="14" t="s">
        <v>41</v>
      </c>
      <c r="E219" s="14" t="s">
        <v>0</v>
      </c>
      <c r="F219" s="24">
        <v>46203</v>
      </c>
      <c r="G219" s="14" t="s">
        <v>32</v>
      </c>
      <c r="H219" s="15">
        <v>100000</v>
      </c>
      <c r="I219" s="26">
        <f t="shared" si="43"/>
        <v>46263</v>
      </c>
      <c r="J219" s="16">
        <f t="shared" si="36"/>
        <v>2026</v>
      </c>
      <c r="K219" s="16">
        <f t="shared" si="37"/>
        <v>6</v>
      </c>
      <c r="L219" s="16">
        <f t="shared" si="38"/>
        <v>2026</v>
      </c>
      <c r="M219" s="16">
        <f t="shared" si="39"/>
        <v>8</v>
      </c>
      <c r="N219" s="16">
        <f t="shared" si="40"/>
        <v>60</v>
      </c>
    </row>
    <row r="220" spans="1:14" ht="12.75" customHeight="1" x14ac:dyDescent="0.25">
      <c r="A220" s="13" t="s">
        <v>105</v>
      </c>
      <c r="B220" s="14" t="s">
        <v>64</v>
      </c>
      <c r="C220" s="14" t="s">
        <v>68</v>
      </c>
      <c r="D220" s="14" t="s">
        <v>41</v>
      </c>
      <c r="E220" s="14" t="s">
        <v>0</v>
      </c>
      <c r="F220" s="24">
        <v>46234</v>
      </c>
      <c r="G220" s="14" t="s">
        <v>32</v>
      </c>
      <c r="H220" s="15">
        <v>25000</v>
      </c>
      <c r="I220" s="26">
        <f t="shared" si="43"/>
        <v>46294</v>
      </c>
      <c r="J220" s="16">
        <f t="shared" si="36"/>
        <v>2026</v>
      </c>
      <c r="K220" s="16">
        <f t="shared" si="37"/>
        <v>7</v>
      </c>
      <c r="L220" s="16">
        <f t="shared" si="38"/>
        <v>2026</v>
      </c>
      <c r="M220" s="16">
        <f t="shared" si="39"/>
        <v>9</v>
      </c>
      <c r="N220" s="16">
        <f t="shared" si="40"/>
        <v>60</v>
      </c>
    </row>
    <row r="221" spans="1:14" ht="12.75" customHeight="1" x14ac:dyDescent="0.25">
      <c r="A221" s="13" t="s">
        <v>105</v>
      </c>
      <c r="B221" s="14" t="s">
        <v>64</v>
      </c>
      <c r="C221" s="14" t="s">
        <v>68</v>
      </c>
      <c r="D221" s="14" t="s">
        <v>41</v>
      </c>
      <c r="E221" s="14" t="s">
        <v>0</v>
      </c>
      <c r="F221" s="24">
        <v>46265</v>
      </c>
      <c r="G221" s="14" t="s">
        <v>32</v>
      </c>
      <c r="H221" s="15">
        <v>25000</v>
      </c>
      <c r="I221" s="26">
        <f t="shared" si="43"/>
        <v>46325</v>
      </c>
      <c r="J221" s="16">
        <f t="shared" si="36"/>
        <v>2026</v>
      </c>
      <c r="K221" s="16">
        <f t="shared" si="37"/>
        <v>8</v>
      </c>
      <c r="L221" s="16">
        <f t="shared" si="38"/>
        <v>2026</v>
      </c>
      <c r="M221" s="16">
        <f t="shared" si="39"/>
        <v>10</v>
      </c>
      <c r="N221" s="16">
        <f t="shared" si="40"/>
        <v>60</v>
      </c>
    </row>
    <row r="222" spans="1:14" ht="12.75" customHeight="1" x14ac:dyDescent="0.25">
      <c r="A222" s="13" t="s">
        <v>105</v>
      </c>
      <c r="B222" s="14" t="s">
        <v>64</v>
      </c>
      <c r="C222" s="14" t="s">
        <v>68</v>
      </c>
      <c r="D222" s="14" t="s">
        <v>41</v>
      </c>
      <c r="E222" s="14" t="s">
        <v>0</v>
      </c>
      <c r="F222" s="24">
        <v>46295</v>
      </c>
      <c r="G222" s="14" t="s">
        <v>32</v>
      </c>
      <c r="H222" s="15">
        <v>25000</v>
      </c>
      <c r="I222" s="26">
        <f t="shared" si="43"/>
        <v>46355</v>
      </c>
      <c r="J222" s="16">
        <f t="shared" si="36"/>
        <v>2026</v>
      </c>
      <c r="K222" s="16">
        <f t="shared" si="37"/>
        <v>9</v>
      </c>
      <c r="L222" s="16">
        <f t="shared" si="38"/>
        <v>2026</v>
      </c>
      <c r="M222" s="16">
        <f t="shared" si="39"/>
        <v>11</v>
      </c>
      <c r="N222" s="16">
        <f t="shared" si="40"/>
        <v>60</v>
      </c>
    </row>
    <row r="223" spans="1:14" ht="12.75" customHeight="1" x14ac:dyDescent="0.25">
      <c r="A223" s="13" t="s">
        <v>108</v>
      </c>
      <c r="B223" s="14" t="s">
        <v>64</v>
      </c>
      <c r="C223" s="14" t="s">
        <v>68</v>
      </c>
      <c r="D223" s="14" t="s">
        <v>41</v>
      </c>
      <c r="E223" s="14" t="s">
        <v>0</v>
      </c>
      <c r="F223" s="24">
        <v>46326</v>
      </c>
      <c r="G223" s="14" t="s">
        <v>32</v>
      </c>
      <c r="H223" s="15">
        <v>25000</v>
      </c>
      <c r="I223" s="26">
        <f t="shared" ref="I223:I225" si="44">+F223+60</f>
        <v>46386</v>
      </c>
      <c r="J223" s="16">
        <f t="shared" si="36"/>
        <v>2026</v>
      </c>
      <c r="K223" s="16">
        <f t="shared" si="37"/>
        <v>10</v>
      </c>
      <c r="L223" s="16">
        <f t="shared" si="38"/>
        <v>2026</v>
      </c>
      <c r="M223" s="16">
        <f t="shared" si="39"/>
        <v>12</v>
      </c>
      <c r="N223" s="16">
        <f t="shared" si="40"/>
        <v>60</v>
      </c>
    </row>
    <row r="224" spans="1:14" ht="12.75" customHeight="1" x14ac:dyDescent="0.25">
      <c r="A224" s="13" t="s">
        <v>108</v>
      </c>
      <c r="B224" s="14" t="s">
        <v>64</v>
      </c>
      <c r="C224" s="14" t="s">
        <v>68</v>
      </c>
      <c r="D224" s="14" t="s">
        <v>41</v>
      </c>
      <c r="E224" s="14" t="s">
        <v>0</v>
      </c>
      <c r="F224" s="24">
        <v>46356</v>
      </c>
      <c r="G224" s="14" t="s">
        <v>32</v>
      </c>
      <c r="H224" s="15">
        <v>25000</v>
      </c>
      <c r="I224" s="26">
        <f t="shared" si="44"/>
        <v>46416</v>
      </c>
      <c r="J224" s="16">
        <f t="shared" si="36"/>
        <v>2026</v>
      </c>
      <c r="K224" s="16">
        <f t="shared" si="37"/>
        <v>11</v>
      </c>
      <c r="L224" s="16">
        <f t="shared" si="38"/>
        <v>2027</v>
      </c>
      <c r="M224" s="16">
        <f t="shared" si="39"/>
        <v>1</v>
      </c>
      <c r="N224" s="16">
        <f t="shared" si="40"/>
        <v>60</v>
      </c>
    </row>
    <row r="225" spans="1:14" ht="12.75" customHeight="1" x14ac:dyDescent="0.25">
      <c r="A225" s="13" t="s">
        <v>108</v>
      </c>
      <c r="B225" s="14" t="s">
        <v>64</v>
      </c>
      <c r="C225" s="14" t="s">
        <v>68</v>
      </c>
      <c r="D225" s="14" t="s">
        <v>41</v>
      </c>
      <c r="E225" s="14" t="s">
        <v>0</v>
      </c>
      <c r="F225" s="24">
        <v>46387</v>
      </c>
      <c r="G225" s="14" t="s">
        <v>32</v>
      </c>
      <c r="H225" s="15">
        <v>24059</v>
      </c>
      <c r="I225" s="26">
        <f t="shared" si="44"/>
        <v>46447</v>
      </c>
      <c r="J225" s="16">
        <f t="shared" si="36"/>
        <v>2026</v>
      </c>
      <c r="K225" s="16">
        <f t="shared" si="37"/>
        <v>12</v>
      </c>
      <c r="L225" s="16">
        <f t="shared" si="38"/>
        <v>2027</v>
      </c>
      <c r="M225" s="16">
        <f t="shared" si="39"/>
        <v>3</v>
      </c>
      <c r="N225" s="16">
        <f t="shared" si="40"/>
        <v>60</v>
      </c>
    </row>
    <row r="226" spans="1:14" ht="12.75" customHeight="1" x14ac:dyDescent="0.25">
      <c r="A226" s="13" t="s">
        <v>109</v>
      </c>
      <c r="B226" s="14" t="s">
        <v>64</v>
      </c>
      <c r="C226" s="14" t="s">
        <v>68</v>
      </c>
      <c r="D226" s="14" t="s">
        <v>41</v>
      </c>
      <c r="E226" s="14" t="s">
        <v>0</v>
      </c>
      <c r="F226" s="24">
        <v>46082</v>
      </c>
      <c r="G226" s="14" t="s">
        <v>32</v>
      </c>
      <c r="H226" s="15">
        <v>60000</v>
      </c>
      <c r="I226" s="26">
        <f t="shared" ref="I226:I228" si="45">+F226+60</f>
        <v>46142</v>
      </c>
      <c r="J226" s="16">
        <f t="shared" si="36"/>
        <v>2026</v>
      </c>
      <c r="K226" s="16">
        <f t="shared" si="37"/>
        <v>3</v>
      </c>
      <c r="L226" s="16">
        <f t="shared" si="38"/>
        <v>2026</v>
      </c>
      <c r="M226" s="16">
        <f t="shared" si="39"/>
        <v>4</v>
      </c>
      <c r="N226" s="16">
        <f t="shared" si="40"/>
        <v>60</v>
      </c>
    </row>
    <row r="227" spans="1:14" ht="12.75" customHeight="1" x14ac:dyDescent="0.25">
      <c r="A227" s="13" t="s">
        <v>109</v>
      </c>
      <c r="B227" s="14" t="s">
        <v>64</v>
      </c>
      <c r="C227" s="14" t="s">
        <v>68</v>
      </c>
      <c r="D227" s="14" t="s">
        <v>41</v>
      </c>
      <c r="E227" s="14" t="s">
        <v>0</v>
      </c>
      <c r="F227" s="24">
        <v>46447</v>
      </c>
      <c r="G227" s="14" t="s">
        <v>32</v>
      </c>
      <c r="H227" s="15">
        <v>60000</v>
      </c>
      <c r="I227" s="26">
        <f t="shared" si="45"/>
        <v>46507</v>
      </c>
      <c r="J227" s="16">
        <f t="shared" si="36"/>
        <v>2027</v>
      </c>
      <c r="K227" s="16">
        <f t="shared" si="37"/>
        <v>3</v>
      </c>
      <c r="L227" s="16">
        <f t="shared" si="38"/>
        <v>2027</v>
      </c>
      <c r="M227" s="16">
        <f t="shared" si="39"/>
        <v>4</v>
      </c>
      <c r="N227" s="16">
        <f t="shared" si="40"/>
        <v>60</v>
      </c>
    </row>
    <row r="228" spans="1:14" ht="12.75" customHeight="1" x14ac:dyDescent="0.25">
      <c r="A228" s="13" t="s">
        <v>109</v>
      </c>
      <c r="B228" s="14" t="s">
        <v>64</v>
      </c>
      <c r="C228" s="14" t="s">
        <v>68</v>
      </c>
      <c r="D228" s="14" t="s">
        <v>41</v>
      </c>
      <c r="E228" s="14" t="s">
        <v>0</v>
      </c>
      <c r="F228" s="24">
        <v>46813</v>
      </c>
      <c r="G228" s="14" t="s">
        <v>32</v>
      </c>
      <c r="H228" s="15">
        <v>60000</v>
      </c>
      <c r="I228" s="26">
        <f t="shared" si="45"/>
        <v>46873</v>
      </c>
      <c r="J228" s="16">
        <f t="shared" si="36"/>
        <v>2028</v>
      </c>
      <c r="K228" s="16">
        <f t="shared" si="37"/>
        <v>3</v>
      </c>
      <c r="L228" s="16">
        <f t="shared" si="38"/>
        <v>2028</v>
      </c>
      <c r="M228" s="16">
        <f t="shared" si="39"/>
        <v>4</v>
      </c>
      <c r="N228" s="16">
        <f t="shared" si="40"/>
        <v>60</v>
      </c>
    </row>
    <row r="229" spans="1:14" ht="12.75" customHeight="1" x14ac:dyDescent="0.25">
      <c r="A229" s="1" t="s">
        <v>99</v>
      </c>
      <c r="B229" s="3" t="s">
        <v>64</v>
      </c>
      <c r="C229" s="34" t="s">
        <v>66</v>
      </c>
      <c r="D229" s="3" t="s">
        <v>40</v>
      </c>
      <c r="E229" s="3" t="s">
        <v>0</v>
      </c>
      <c r="F229" s="23">
        <v>45911</v>
      </c>
      <c r="G229" s="3">
        <v>6274</v>
      </c>
      <c r="H229" s="6">
        <v>12000</v>
      </c>
      <c r="I229" s="23">
        <v>45964</v>
      </c>
      <c r="J229" s="7">
        <f t="shared" si="36"/>
        <v>2025</v>
      </c>
      <c r="K229" s="7">
        <f t="shared" si="37"/>
        <v>9</v>
      </c>
      <c r="L229" s="7">
        <f t="shared" si="38"/>
        <v>2025</v>
      </c>
      <c r="M229" s="7">
        <f t="shared" si="39"/>
        <v>11</v>
      </c>
      <c r="N229" s="7">
        <f t="shared" si="40"/>
        <v>53</v>
      </c>
    </row>
    <row r="230" spans="1:14" ht="12.75" customHeight="1" x14ac:dyDescent="0.25">
      <c r="A230" s="1" t="s">
        <v>99</v>
      </c>
      <c r="B230" s="3" t="s">
        <v>64</v>
      </c>
      <c r="C230" s="34" t="s">
        <v>66</v>
      </c>
      <c r="D230" s="3" t="s">
        <v>40</v>
      </c>
      <c r="E230" s="3" t="s">
        <v>0</v>
      </c>
      <c r="F230" s="23">
        <v>45961</v>
      </c>
      <c r="G230" s="3">
        <v>6302</v>
      </c>
      <c r="H230" s="6">
        <v>13000</v>
      </c>
      <c r="I230" s="23">
        <v>46007</v>
      </c>
      <c r="J230" s="7">
        <f t="shared" si="36"/>
        <v>2025</v>
      </c>
      <c r="K230" s="7">
        <f t="shared" si="37"/>
        <v>10</v>
      </c>
      <c r="L230" s="7">
        <f t="shared" si="38"/>
        <v>2025</v>
      </c>
      <c r="M230" s="7">
        <f t="shared" si="39"/>
        <v>12</v>
      </c>
      <c r="N230" s="7">
        <f t="shared" si="40"/>
        <v>46</v>
      </c>
    </row>
    <row r="231" spans="1:14" ht="12.75" customHeight="1" x14ac:dyDescent="0.25">
      <c r="A231" s="1" t="s">
        <v>6</v>
      </c>
      <c r="B231" s="34" t="s">
        <v>61</v>
      </c>
      <c r="C231" s="34" t="s">
        <v>68</v>
      </c>
      <c r="D231" s="3" t="s">
        <v>40</v>
      </c>
      <c r="E231" s="3" t="s">
        <v>0</v>
      </c>
      <c r="F231" s="23">
        <v>45627</v>
      </c>
      <c r="G231" s="3">
        <v>6126</v>
      </c>
      <c r="H231" s="6">
        <v>5250</v>
      </c>
      <c r="I231" s="23">
        <v>45672</v>
      </c>
      <c r="J231" s="7">
        <f t="shared" si="36"/>
        <v>2024</v>
      </c>
      <c r="K231" s="7">
        <f t="shared" si="37"/>
        <v>12</v>
      </c>
      <c r="L231" s="7">
        <f t="shared" si="38"/>
        <v>2025</v>
      </c>
      <c r="M231" s="7">
        <f t="shared" si="39"/>
        <v>1</v>
      </c>
      <c r="N231" s="7">
        <f t="shared" si="40"/>
        <v>45</v>
      </c>
    </row>
    <row r="232" spans="1:14" ht="12.75" customHeight="1" x14ac:dyDescent="0.25">
      <c r="A232" s="1" t="s">
        <v>6</v>
      </c>
      <c r="B232" s="34" t="s">
        <v>61</v>
      </c>
      <c r="C232" s="34" t="s">
        <v>68</v>
      </c>
      <c r="D232" s="3" t="s">
        <v>40</v>
      </c>
      <c r="E232" s="3" t="s">
        <v>0</v>
      </c>
      <c r="F232" s="23">
        <v>45658</v>
      </c>
      <c r="G232" s="3">
        <v>6145</v>
      </c>
      <c r="H232" s="6">
        <v>4200</v>
      </c>
      <c r="I232" s="23">
        <v>45700</v>
      </c>
      <c r="J232" s="7">
        <f t="shared" si="36"/>
        <v>2025</v>
      </c>
      <c r="K232" s="7">
        <f t="shared" si="37"/>
        <v>1</v>
      </c>
      <c r="L232" s="7">
        <f t="shared" si="38"/>
        <v>2025</v>
      </c>
      <c r="M232" s="7">
        <f t="shared" si="39"/>
        <v>2</v>
      </c>
      <c r="N232" s="7">
        <f t="shared" si="40"/>
        <v>42</v>
      </c>
    </row>
    <row r="233" spans="1:14" ht="12.75" customHeight="1" x14ac:dyDescent="0.25">
      <c r="A233" s="1" t="s">
        <v>6</v>
      </c>
      <c r="B233" s="34" t="s">
        <v>61</v>
      </c>
      <c r="C233" s="34" t="s">
        <v>68</v>
      </c>
      <c r="D233" s="3" t="s">
        <v>40</v>
      </c>
      <c r="E233" s="3" t="s">
        <v>0</v>
      </c>
      <c r="F233" s="23">
        <v>45689</v>
      </c>
      <c r="G233" s="3">
        <v>6160</v>
      </c>
      <c r="H233" s="6">
        <v>4200</v>
      </c>
      <c r="I233" s="23">
        <v>45726</v>
      </c>
      <c r="J233" s="7">
        <f t="shared" si="36"/>
        <v>2025</v>
      </c>
      <c r="K233" s="7">
        <f t="shared" si="37"/>
        <v>2</v>
      </c>
      <c r="L233" s="7">
        <f t="shared" si="38"/>
        <v>2025</v>
      </c>
      <c r="M233" s="7">
        <f t="shared" si="39"/>
        <v>3</v>
      </c>
      <c r="N233" s="7">
        <f t="shared" si="40"/>
        <v>37</v>
      </c>
    </row>
    <row r="234" spans="1:14" ht="12.75" customHeight="1" x14ac:dyDescent="0.25">
      <c r="A234" s="1" t="s">
        <v>6</v>
      </c>
      <c r="B234" s="34" t="s">
        <v>61</v>
      </c>
      <c r="C234" s="34" t="s">
        <v>68</v>
      </c>
      <c r="D234" s="3" t="s">
        <v>40</v>
      </c>
      <c r="E234" s="3" t="s">
        <v>0</v>
      </c>
      <c r="F234" s="23">
        <v>45717</v>
      </c>
      <c r="G234" s="3">
        <v>6174</v>
      </c>
      <c r="H234" s="6">
        <v>4200</v>
      </c>
      <c r="I234" s="23">
        <v>45747</v>
      </c>
      <c r="J234" s="7">
        <f t="shared" si="36"/>
        <v>2025</v>
      </c>
      <c r="K234" s="7">
        <f t="shared" si="37"/>
        <v>3</v>
      </c>
      <c r="L234" s="7">
        <f t="shared" si="38"/>
        <v>2025</v>
      </c>
      <c r="M234" s="7">
        <f t="shared" si="39"/>
        <v>3</v>
      </c>
      <c r="N234" s="7">
        <f t="shared" si="40"/>
        <v>30</v>
      </c>
    </row>
    <row r="235" spans="1:14" ht="12.75" customHeight="1" x14ac:dyDescent="0.25">
      <c r="A235" s="1" t="s">
        <v>6</v>
      </c>
      <c r="B235" s="34" t="s">
        <v>61</v>
      </c>
      <c r="C235" s="34" t="s">
        <v>68</v>
      </c>
      <c r="D235" s="3" t="s">
        <v>40</v>
      </c>
      <c r="E235" s="3" t="s">
        <v>0</v>
      </c>
      <c r="F235" s="23">
        <v>45748</v>
      </c>
      <c r="G235" s="3">
        <v>6192</v>
      </c>
      <c r="H235" s="6">
        <v>4200</v>
      </c>
      <c r="I235" s="23">
        <v>45777</v>
      </c>
      <c r="J235" s="7">
        <f t="shared" si="36"/>
        <v>2025</v>
      </c>
      <c r="K235" s="7">
        <f t="shared" si="37"/>
        <v>4</v>
      </c>
      <c r="L235" s="7">
        <f t="shared" si="38"/>
        <v>2025</v>
      </c>
      <c r="M235" s="7">
        <f t="shared" si="39"/>
        <v>4</v>
      </c>
      <c r="N235" s="7">
        <f t="shared" si="40"/>
        <v>29</v>
      </c>
    </row>
    <row r="236" spans="1:14" ht="12.75" customHeight="1" x14ac:dyDescent="0.25">
      <c r="A236" s="1" t="s">
        <v>6</v>
      </c>
      <c r="B236" s="34" t="s">
        <v>61</v>
      </c>
      <c r="C236" s="34" t="s">
        <v>68</v>
      </c>
      <c r="D236" s="3" t="s">
        <v>40</v>
      </c>
      <c r="E236" s="3" t="s">
        <v>0</v>
      </c>
      <c r="F236" s="23">
        <v>45778</v>
      </c>
      <c r="G236" s="3">
        <v>6204</v>
      </c>
      <c r="H236" s="6">
        <v>4200</v>
      </c>
      <c r="I236" s="23">
        <v>45800</v>
      </c>
      <c r="J236" s="7">
        <f t="shared" si="36"/>
        <v>2025</v>
      </c>
      <c r="K236" s="7">
        <f t="shared" si="37"/>
        <v>5</v>
      </c>
      <c r="L236" s="7">
        <f t="shared" si="38"/>
        <v>2025</v>
      </c>
      <c r="M236" s="7">
        <f t="shared" si="39"/>
        <v>5</v>
      </c>
      <c r="N236" s="7">
        <f t="shared" si="40"/>
        <v>22</v>
      </c>
    </row>
    <row r="237" spans="1:14" ht="12.75" customHeight="1" x14ac:dyDescent="0.25">
      <c r="A237" s="1" t="s">
        <v>6</v>
      </c>
      <c r="B237" s="34" t="s">
        <v>61</v>
      </c>
      <c r="C237" s="34" t="s">
        <v>68</v>
      </c>
      <c r="D237" s="3" t="s">
        <v>40</v>
      </c>
      <c r="E237" s="3" t="s">
        <v>0</v>
      </c>
      <c r="F237" s="23">
        <v>45809</v>
      </c>
      <c r="G237" s="3">
        <v>6218</v>
      </c>
      <c r="H237" s="6">
        <v>4200</v>
      </c>
      <c r="I237" s="23">
        <v>45840</v>
      </c>
      <c r="J237" s="7">
        <f t="shared" si="36"/>
        <v>2025</v>
      </c>
      <c r="K237" s="7">
        <f t="shared" si="37"/>
        <v>6</v>
      </c>
      <c r="L237" s="7">
        <f t="shared" si="38"/>
        <v>2025</v>
      </c>
      <c r="M237" s="7">
        <f t="shared" si="39"/>
        <v>7</v>
      </c>
      <c r="N237" s="7">
        <f t="shared" si="40"/>
        <v>31</v>
      </c>
    </row>
    <row r="238" spans="1:14" ht="12.75" customHeight="1" x14ac:dyDescent="0.25">
      <c r="A238" s="1" t="s">
        <v>89</v>
      </c>
      <c r="B238" s="34" t="s">
        <v>61</v>
      </c>
      <c r="C238" s="34" t="s">
        <v>68</v>
      </c>
      <c r="D238" s="3" t="s">
        <v>40</v>
      </c>
      <c r="E238" s="3" t="s">
        <v>0</v>
      </c>
      <c r="F238" s="23">
        <v>45838</v>
      </c>
      <c r="G238" s="3">
        <v>6238</v>
      </c>
      <c r="H238" s="6">
        <v>1762.5</v>
      </c>
      <c r="I238" s="23">
        <v>45873</v>
      </c>
      <c r="J238" s="7">
        <f t="shared" si="36"/>
        <v>2025</v>
      </c>
      <c r="K238" s="7">
        <f t="shared" si="37"/>
        <v>6</v>
      </c>
      <c r="L238" s="7">
        <f t="shared" si="38"/>
        <v>2025</v>
      </c>
      <c r="M238" s="7">
        <f t="shared" si="39"/>
        <v>8</v>
      </c>
      <c r="N238" s="7">
        <f t="shared" si="40"/>
        <v>35</v>
      </c>
    </row>
    <row r="239" spans="1:14" ht="12.75" customHeight="1" x14ac:dyDescent="0.25">
      <c r="A239" s="1" t="s">
        <v>6</v>
      </c>
      <c r="B239" s="34" t="s">
        <v>61</v>
      </c>
      <c r="C239" s="34" t="s">
        <v>68</v>
      </c>
      <c r="D239" s="3" t="s">
        <v>40</v>
      </c>
      <c r="E239" s="3" t="s">
        <v>0</v>
      </c>
      <c r="F239" s="23">
        <v>45839</v>
      </c>
      <c r="G239" s="3">
        <v>6233</v>
      </c>
      <c r="H239" s="6">
        <v>1500</v>
      </c>
      <c r="I239" s="23">
        <v>45873</v>
      </c>
      <c r="J239" s="7">
        <f t="shared" si="36"/>
        <v>2025</v>
      </c>
      <c r="K239" s="7">
        <f t="shared" si="37"/>
        <v>7</v>
      </c>
      <c r="L239" s="7">
        <f t="shared" si="38"/>
        <v>2025</v>
      </c>
      <c r="M239" s="7">
        <f t="shared" si="39"/>
        <v>8</v>
      </c>
      <c r="N239" s="7">
        <f t="shared" si="40"/>
        <v>34</v>
      </c>
    </row>
    <row r="240" spans="1:14" ht="12.75" customHeight="1" x14ac:dyDescent="0.25">
      <c r="A240" s="1" t="s">
        <v>89</v>
      </c>
      <c r="B240" s="34" t="s">
        <v>61</v>
      </c>
      <c r="C240" s="34" t="s">
        <v>68</v>
      </c>
      <c r="D240" s="3" t="s">
        <v>40</v>
      </c>
      <c r="E240" s="3" t="s">
        <v>0</v>
      </c>
      <c r="F240" s="23">
        <v>45869</v>
      </c>
      <c r="G240" s="3">
        <v>6249</v>
      </c>
      <c r="H240" s="6">
        <v>3937.5</v>
      </c>
      <c r="I240" s="23">
        <v>45915</v>
      </c>
      <c r="J240" s="7">
        <f t="shared" si="36"/>
        <v>2025</v>
      </c>
      <c r="K240" s="7">
        <f t="shared" si="37"/>
        <v>7</v>
      </c>
      <c r="L240" s="7">
        <f t="shared" si="38"/>
        <v>2025</v>
      </c>
      <c r="M240" s="7">
        <f t="shared" si="39"/>
        <v>9</v>
      </c>
      <c r="N240" s="7">
        <f t="shared" si="40"/>
        <v>46</v>
      </c>
    </row>
    <row r="241" spans="1:14" ht="12.75" customHeight="1" x14ac:dyDescent="0.25">
      <c r="A241" s="2" t="s">
        <v>12</v>
      </c>
      <c r="B241" s="3" t="s">
        <v>61</v>
      </c>
      <c r="C241" s="3" t="s">
        <v>62</v>
      </c>
      <c r="D241" s="3" t="s">
        <v>40</v>
      </c>
      <c r="E241" s="3" t="s">
        <v>0</v>
      </c>
      <c r="F241" s="23">
        <v>45611</v>
      </c>
      <c r="G241" s="3">
        <v>6133</v>
      </c>
      <c r="H241" s="6">
        <v>13640</v>
      </c>
      <c r="I241" s="23">
        <v>45660</v>
      </c>
      <c r="J241" s="7">
        <f t="shared" si="36"/>
        <v>2024</v>
      </c>
      <c r="K241" s="7">
        <f t="shared" si="37"/>
        <v>11</v>
      </c>
      <c r="L241" s="7">
        <f t="shared" si="38"/>
        <v>2025</v>
      </c>
      <c r="M241" s="7">
        <f t="shared" si="39"/>
        <v>1</v>
      </c>
      <c r="N241" s="7">
        <f t="shared" si="40"/>
        <v>49</v>
      </c>
    </row>
    <row r="242" spans="1:14" ht="12.75" customHeight="1" x14ac:dyDescent="0.25">
      <c r="A242" s="2" t="s">
        <v>12</v>
      </c>
      <c r="B242" s="3" t="s">
        <v>61</v>
      </c>
      <c r="C242" s="3" t="s">
        <v>62</v>
      </c>
      <c r="D242" s="3" t="s">
        <v>40</v>
      </c>
      <c r="E242" s="3" t="s">
        <v>0</v>
      </c>
      <c r="F242" s="23">
        <v>45626</v>
      </c>
      <c r="G242" s="3">
        <v>6134</v>
      </c>
      <c r="H242" s="6">
        <v>15190</v>
      </c>
      <c r="I242" s="23">
        <v>45667</v>
      </c>
      <c r="J242" s="7">
        <f t="shared" si="36"/>
        <v>2024</v>
      </c>
      <c r="K242" s="7">
        <f t="shared" si="37"/>
        <v>11</v>
      </c>
      <c r="L242" s="7">
        <f t="shared" si="38"/>
        <v>2025</v>
      </c>
      <c r="M242" s="7">
        <f t="shared" si="39"/>
        <v>1</v>
      </c>
      <c r="N242" s="7">
        <f t="shared" si="40"/>
        <v>41</v>
      </c>
    </row>
    <row r="243" spans="1:14" ht="12.75" customHeight="1" x14ac:dyDescent="0.25">
      <c r="A243" s="2" t="s">
        <v>12</v>
      </c>
      <c r="B243" s="3" t="s">
        <v>61</v>
      </c>
      <c r="C243" s="3" t="s">
        <v>62</v>
      </c>
      <c r="D243" s="3" t="s">
        <v>40</v>
      </c>
      <c r="E243" s="3" t="s">
        <v>0</v>
      </c>
      <c r="F243" s="23">
        <v>45657</v>
      </c>
      <c r="G243" s="3">
        <v>6152</v>
      </c>
      <c r="H243" s="6">
        <v>13640</v>
      </c>
      <c r="I243" s="23">
        <v>45695</v>
      </c>
      <c r="J243" s="7">
        <f t="shared" si="36"/>
        <v>2024</v>
      </c>
      <c r="K243" s="7">
        <f t="shared" si="37"/>
        <v>12</v>
      </c>
      <c r="L243" s="7">
        <f t="shared" si="38"/>
        <v>2025</v>
      </c>
      <c r="M243" s="7">
        <f t="shared" si="39"/>
        <v>2</v>
      </c>
      <c r="N243" s="7">
        <f t="shared" si="40"/>
        <v>38</v>
      </c>
    </row>
    <row r="244" spans="1:14" ht="12.75" customHeight="1" x14ac:dyDescent="0.25">
      <c r="A244" s="2" t="s">
        <v>12</v>
      </c>
      <c r="B244" s="3" t="s">
        <v>61</v>
      </c>
      <c r="C244" s="3" t="s">
        <v>62</v>
      </c>
      <c r="D244" s="3" t="s">
        <v>40</v>
      </c>
      <c r="E244" s="3" t="s">
        <v>0</v>
      </c>
      <c r="F244" s="23">
        <v>45688</v>
      </c>
      <c r="G244" s="3">
        <v>6166</v>
      </c>
      <c r="H244" s="6">
        <v>8680</v>
      </c>
      <c r="I244" s="23">
        <v>45709</v>
      </c>
      <c r="J244" s="7">
        <f t="shared" si="36"/>
        <v>2025</v>
      </c>
      <c r="K244" s="7">
        <f t="shared" si="37"/>
        <v>1</v>
      </c>
      <c r="L244" s="7">
        <f t="shared" si="38"/>
        <v>2025</v>
      </c>
      <c r="M244" s="7">
        <f t="shared" si="39"/>
        <v>2</v>
      </c>
      <c r="N244" s="7">
        <f t="shared" si="40"/>
        <v>21</v>
      </c>
    </row>
    <row r="245" spans="1:14" ht="12.75" customHeight="1" x14ac:dyDescent="0.25">
      <c r="A245" s="2" t="s">
        <v>12</v>
      </c>
      <c r="B245" s="3" t="s">
        <v>61</v>
      </c>
      <c r="C245" s="3" t="s">
        <v>62</v>
      </c>
      <c r="D245" s="3" t="s">
        <v>40</v>
      </c>
      <c r="E245" s="3" t="s">
        <v>0</v>
      </c>
      <c r="F245" s="23">
        <v>45688</v>
      </c>
      <c r="G245" s="3">
        <v>6166</v>
      </c>
      <c r="H245" s="6">
        <v>12400</v>
      </c>
      <c r="I245" s="23">
        <v>45730</v>
      </c>
      <c r="J245" s="7">
        <f t="shared" si="36"/>
        <v>2025</v>
      </c>
      <c r="K245" s="7">
        <f t="shared" si="37"/>
        <v>1</v>
      </c>
      <c r="L245" s="7">
        <f t="shared" si="38"/>
        <v>2025</v>
      </c>
      <c r="M245" s="7">
        <f t="shared" si="39"/>
        <v>3</v>
      </c>
      <c r="N245" s="7">
        <f t="shared" si="40"/>
        <v>42</v>
      </c>
    </row>
    <row r="246" spans="1:14" ht="12.75" customHeight="1" x14ac:dyDescent="0.25">
      <c r="A246" s="2" t="s">
        <v>12</v>
      </c>
      <c r="B246" s="3" t="s">
        <v>61</v>
      </c>
      <c r="C246" s="3" t="s">
        <v>62</v>
      </c>
      <c r="D246" s="3" t="s">
        <v>40</v>
      </c>
      <c r="E246" s="3" t="s">
        <v>0</v>
      </c>
      <c r="F246" s="23">
        <v>45716</v>
      </c>
      <c r="G246" s="3">
        <v>6180</v>
      </c>
      <c r="H246" s="6">
        <v>12400</v>
      </c>
      <c r="I246" s="23">
        <v>45744</v>
      </c>
      <c r="J246" s="7">
        <f t="shared" si="36"/>
        <v>2025</v>
      </c>
      <c r="K246" s="7">
        <f t="shared" si="37"/>
        <v>2</v>
      </c>
      <c r="L246" s="7">
        <f t="shared" si="38"/>
        <v>2025</v>
      </c>
      <c r="M246" s="7">
        <f t="shared" si="39"/>
        <v>3</v>
      </c>
      <c r="N246" s="7">
        <f t="shared" si="40"/>
        <v>28</v>
      </c>
    </row>
    <row r="247" spans="1:14" ht="12.75" customHeight="1" x14ac:dyDescent="0.25">
      <c r="A247" s="2" t="s">
        <v>12</v>
      </c>
      <c r="B247" s="3" t="s">
        <v>61</v>
      </c>
      <c r="C247" s="3" t="s">
        <v>62</v>
      </c>
      <c r="D247" s="3" t="s">
        <v>40</v>
      </c>
      <c r="E247" s="3" t="s">
        <v>0</v>
      </c>
      <c r="F247" s="23">
        <v>45716</v>
      </c>
      <c r="G247" s="3">
        <v>6180</v>
      </c>
      <c r="H247" s="6">
        <v>13640</v>
      </c>
      <c r="I247" s="23">
        <v>45758</v>
      </c>
      <c r="J247" s="7">
        <f t="shared" si="36"/>
        <v>2025</v>
      </c>
      <c r="K247" s="7">
        <f t="shared" si="37"/>
        <v>2</v>
      </c>
      <c r="L247" s="7">
        <f t="shared" si="38"/>
        <v>2025</v>
      </c>
      <c r="M247" s="7">
        <f t="shared" si="39"/>
        <v>4</v>
      </c>
      <c r="N247" s="7">
        <f t="shared" si="40"/>
        <v>42</v>
      </c>
    </row>
    <row r="248" spans="1:14" ht="12.75" customHeight="1" x14ac:dyDescent="0.25">
      <c r="A248" s="2" t="s">
        <v>12</v>
      </c>
      <c r="B248" s="3" t="s">
        <v>61</v>
      </c>
      <c r="C248" s="3" t="s">
        <v>62</v>
      </c>
      <c r="D248" s="3" t="s">
        <v>40</v>
      </c>
      <c r="E248" s="3" t="s">
        <v>0</v>
      </c>
      <c r="F248" s="23">
        <v>45747</v>
      </c>
      <c r="G248" s="3">
        <v>6197</v>
      </c>
      <c r="H248" s="6">
        <v>6200</v>
      </c>
      <c r="I248" s="23">
        <v>45772</v>
      </c>
      <c r="J248" s="7">
        <f t="shared" si="36"/>
        <v>2025</v>
      </c>
      <c r="K248" s="7">
        <f t="shared" si="37"/>
        <v>3</v>
      </c>
      <c r="L248" s="7">
        <f t="shared" si="38"/>
        <v>2025</v>
      </c>
      <c r="M248" s="7">
        <f t="shared" si="39"/>
        <v>4</v>
      </c>
      <c r="N248" s="7">
        <f t="shared" si="40"/>
        <v>25</v>
      </c>
    </row>
    <row r="249" spans="1:14" ht="12.75" customHeight="1" x14ac:dyDescent="0.25">
      <c r="A249" s="2" t="s">
        <v>7</v>
      </c>
      <c r="B249" s="3" t="s">
        <v>61</v>
      </c>
      <c r="C249" s="3" t="s">
        <v>66</v>
      </c>
      <c r="D249" s="3" t="s">
        <v>40</v>
      </c>
      <c r="E249" s="3" t="s">
        <v>0</v>
      </c>
      <c r="F249" s="23">
        <v>45658</v>
      </c>
      <c r="G249" s="3">
        <v>6146</v>
      </c>
      <c r="H249" s="6">
        <v>22182.36</v>
      </c>
      <c r="I249" s="23">
        <v>45671</v>
      </c>
      <c r="J249" s="7">
        <f t="shared" si="36"/>
        <v>2025</v>
      </c>
      <c r="K249" s="7">
        <f t="shared" si="37"/>
        <v>1</v>
      </c>
      <c r="L249" s="7">
        <f t="shared" si="38"/>
        <v>2025</v>
      </c>
      <c r="M249" s="7">
        <f t="shared" si="39"/>
        <v>1</v>
      </c>
      <c r="N249" s="7">
        <f t="shared" si="40"/>
        <v>13</v>
      </c>
    </row>
    <row r="250" spans="1:14" ht="12.75" customHeight="1" x14ac:dyDescent="0.25">
      <c r="A250" s="2" t="s">
        <v>35</v>
      </c>
      <c r="B250" s="3" t="s">
        <v>61</v>
      </c>
      <c r="C250" s="3" t="s">
        <v>62</v>
      </c>
      <c r="D250" s="3" t="s">
        <v>40</v>
      </c>
      <c r="E250" s="3" t="s">
        <v>0</v>
      </c>
      <c r="F250" s="23">
        <v>45658</v>
      </c>
      <c r="G250" s="3">
        <v>6143</v>
      </c>
      <c r="H250" s="6">
        <v>24777.599999999999</v>
      </c>
      <c r="I250" s="23">
        <v>45681</v>
      </c>
      <c r="J250" s="7">
        <f t="shared" si="36"/>
        <v>2025</v>
      </c>
      <c r="K250" s="7">
        <f t="shared" si="37"/>
        <v>1</v>
      </c>
      <c r="L250" s="7">
        <f t="shared" si="38"/>
        <v>2025</v>
      </c>
      <c r="M250" s="7">
        <f t="shared" si="39"/>
        <v>1</v>
      </c>
      <c r="N250" s="7">
        <f t="shared" si="40"/>
        <v>23</v>
      </c>
    </row>
    <row r="251" spans="1:14" ht="12.75" customHeight="1" x14ac:dyDescent="0.25">
      <c r="A251" s="2" t="s">
        <v>35</v>
      </c>
      <c r="B251" s="3" t="s">
        <v>61</v>
      </c>
      <c r="C251" s="3" t="s">
        <v>62</v>
      </c>
      <c r="D251" s="3" t="s">
        <v>40</v>
      </c>
      <c r="E251" s="3" t="s">
        <v>0</v>
      </c>
      <c r="F251" s="23">
        <v>45689</v>
      </c>
      <c r="G251" s="3">
        <v>6158</v>
      </c>
      <c r="H251" s="6">
        <v>24777.599999999999</v>
      </c>
      <c r="I251" s="23">
        <v>45716</v>
      </c>
      <c r="J251" s="7">
        <f t="shared" si="36"/>
        <v>2025</v>
      </c>
      <c r="K251" s="7">
        <f t="shared" si="37"/>
        <v>2</v>
      </c>
      <c r="L251" s="7">
        <f t="shared" si="38"/>
        <v>2025</v>
      </c>
      <c r="M251" s="7">
        <f t="shared" si="39"/>
        <v>2</v>
      </c>
      <c r="N251" s="7">
        <f t="shared" si="40"/>
        <v>27</v>
      </c>
    </row>
    <row r="252" spans="1:14" ht="12.75" customHeight="1" x14ac:dyDescent="0.25">
      <c r="A252" s="2" t="s">
        <v>35</v>
      </c>
      <c r="B252" s="3" t="s">
        <v>61</v>
      </c>
      <c r="C252" s="3" t="s">
        <v>62</v>
      </c>
      <c r="D252" s="3" t="s">
        <v>40</v>
      </c>
      <c r="E252" s="3" t="s">
        <v>0</v>
      </c>
      <c r="F252" s="23">
        <v>45717</v>
      </c>
      <c r="G252" s="3">
        <v>6186</v>
      </c>
      <c r="H252" s="6">
        <v>24777.599999999999</v>
      </c>
      <c r="I252" s="23">
        <v>45751</v>
      </c>
      <c r="J252" s="7">
        <f t="shared" si="36"/>
        <v>2025</v>
      </c>
      <c r="K252" s="7">
        <f t="shared" si="37"/>
        <v>3</v>
      </c>
      <c r="L252" s="7">
        <f t="shared" si="38"/>
        <v>2025</v>
      </c>
      <c r="M252" s="7">
        <f t="shared" si="39"/>
        <v>4</v>
      </c>
      <c r="N252" s="7">
        <f t="shared" si="40"/>
        <v>34</v>
      </c>
    </row>
    <row r="253" spans="1:14" ht="12.75" customHeight="1" x14ac:dyDescent="0.25">
      <c r="A253" s="2" t="s">
        <v>35</v>
      </c>
      <c r="B253" s="3" t="s">
        <v>61</v>
      </c>
      <c r="C253" s="3" t="s">
        <v>62</v>
      </c>
      <c r="D253" s="3" t="s">
        <v>40</v>
      </c>
      <c r="E253" s="3" t="s">
        <v>0</v>
      </c>
      <c r="F253" s="23">
        <v>45748</v>
      </c>
      <c r="G253" s="3">
        <v>6190</v>
      </c>
      <c r="H253" s="6">
        <v>24777.599999999999</v>
      </c>
      <c r="I253" s="23">
        <v>45772</v>
      </c>
      <c r="J253" s="7">
        <f t="shared" si="36"/>
        <v>2025</v>
      </c>
      <c r="K253" s="7">
        <f t="shared" si="37"/>
        <v>4</v>
      </c>
      <c r="L253" s="7">
        <f t="shared" si="38"/>
        <v>2025</v>
      </c>
      <c r="M253" s="7">
        <f t="shared" si="39"/>
        <v>4</v>
      </c>
      <c r="N253" s="7">
        <f t="shared" si="40"/>
        <v>24</v>
      </c>
    </row>
    <row r="254" spans="1:14" ht="12.75" customHeight="1" x14ac:dyDescent="0.25">
      <c r="A254" s="2" t="s">
        <v>35</v>
      </c>
      <c r="B254" s="3" t="s">
        <v>61</v>
      </c>
      <c r="C254" s="3" t="s">
        <v>62</v>
      </c>
      <c r="D254" s="3" t="s">
        <v>40</v>
      </c>
      <c r="E254" s="3" t="s">
        <v>0</v>
      </c>
      <c r="F254" s="23">
        <v>45778</v>
      </c>
      <c r="G254" s="3">
        <v>6202</v>
      </c>
      <c r="H254" s="6">
        <v>24777.599999999999</v>
      </c>
      <c r="I254" s="23">
        <v>45800</v>
      </c>
      <c r="J254" s="7">
        <f t="shared" si="36"/>
        <v>2025</v>
      </c>
      <c r="K254" s="7">
        <f t="shared" si="37"/>
        <v>5</v>
      </c>
      <c r="L254" s="7">
        <f t="shared" si="38"/>
        <v>2025</v>
      </c>
      <c r="M254" s="7">
        <f t="shared" si="39"/>
        <v>5</v>
      </c>
      <c r="N254" s="7">
        <f t="shared" si="40"/>
        <v>22</v>
      </c>
    </row>
    <row r="255" spans="1:14" ht="12.75" customHeight="1" x14ac:dyDescent="0.25">
      <c r="A255" s="2" t="s">
        <v>35</v>
      </c>
      <c r="B255" s="3" t="s">
        <v>61</v>
      </c>
      <c r="C255" s="3" t="s">
        <v>62</v>
      </c>
      <c r="D255" s="3" t="s">
        <v>40</v>
      </c>
      <c r="E255" s="3" t="s">
        <v>0</v>
      </c>
      <c r="F255" s="23">
        <v>45809</v>
      </c>
      <c r="G255" s="3">
        <v>6216</v>
      </c>
      <c r="H255" s="6">
        <v>24777.599999999999</v>
      </c>
      <c r="I255" s="23">
        <v>45835</v>
      </c>
      <c r="J255" s="7">
        <f t="shared" si="36"/>
        <v>2025</v>
      </c>
      <c r="K255" s="7">
        <f t="shared" si="37"/>
        <v>6</v>
      </c>
      <c r="L255" s="7">
        <f t="shared" si="38"/>
        <v>2025</v>
      </c>
      <c r="M255" s="7">
        <f t="shared" si="39"/>
        <v>6</v>
      </c>
      <c r="N255" s="7">
        <f t="shared" si="40"/>
        <v>26</v>
      </c>
    </row>
    <row r="256" spans="1:14" ht="12.75" customHeight="1" x14ac:dyDescent="0.25">
      <c r="A256" s="2" t="s">
        <v>35</v>
      </c>
      <c r="B256" s="3" t="s">
        <v>61</v>
      </c>
      <c r="C256" s="3" t="s">
        <v>62</v>
      </c>
      <c r="D256" s="3" t="s">
        <v>40</v>
      </c>
      <c r="E256" s="3" t="s">
        <v>0</v>
      </c>
      <c r="F256" s="23">
        <v>45839</v>
      </c>
      <c r="G256" s="3">
        <v>6231</v>
      </c>
      <c r="H256" s="6">
        <v>24777.599999999999</v>
      </c>
      <c r="I256" s="23">
        <v>45863</v>
      </c>
      <c r="J256" s="7">
        <f t="shared" si="36"/>
        <v>2025</v>
      </c>
      <c r="K256" s="7">
        <f t="shared" si="37"/>
        <v>7</v>
      </c>
      <c r="L256" s="7">
        <f t="shared" si="38"/>
        <v>2025</v>
      </c>
      <c r="M256" s="7">
        <f t="shared" si="39"/>
        <v>7</v>
      </c>
      <c r="N256" s="7">
        <f t="shared" si="40"/>
        <v>24</v>
      </c>
    </row>
    <row r="257" spans="1:14" ht="12.75" customHeight="1" x14ac:dyDescent="0.25">
      <c r="A257" s="1" t="s">
        <v>36</v>
      </c>
      <c r="B257" s="34" t="s">
        <v>64</v>
      </c>
      <c r="C257" s="34" t="s">
        <v>62</v>
      </c>
      <c r="D257" s="3" t="s">
        <v>40</v>
      </c>
      <c r="E257" s="3" t="s">
        <v>0</v>
      </c>
      <c r="F257" s="23">
        <v>45870</v>
      </c>
      <c r="G257" s="3">
        <v>6247</v>
      </c>
      <c r="H257" s="6">
        <v>24777.599999999999</v>
      </c>
      <c r="I257" s="23">
        <v>45891</v>
      </c>
      <c r="J257" s="7">
        <f t="shared" si="36"/>
        <v>2025</v>
      </c>
      <c r="K257" s="7">
        <f t="shared" si="37"/>
        <v>8</v>
      </c>
      <c r="L257" s="7">
        <f t="shared" si="38"/>
        <v>2025</v>
      </c>
      <c r="M257" s="7">
        <f t="shared" si="39"/>
        <v>8</v>
      </c>
      <c r="N257" s="7">
        <f t="shared" si="40"/>
        <v>21</v>
      </c>
    </row>
    <row r="258" spans="1:14" ht="12.75" customHeight="1" x14ac:dyDescent="0.25">
      <c r="A258" s="1" t="s">
        <v>36</v>
      </c>
      <c r="B258" s="34" t="s">
        <v>64</v>
      </c>
      <c r="C258" s="34" t="s">
        <v>62</v>
      </c>
      <c r="D258" s="3" t="s">
        <v>40</v>
      </c>
      <c r="E258" s="3" t="s">
        <v>0</v>
      </c>
      <c r="F258" s="23">
        <v>45901</v>
      </c>
      <c r="G258" s="3">
        <v>6265</v>
      </c>
      <c r="H258" s="6">
        <v>24777.599999999999</v>
      </c>
      <c r="I258" s="23">
        <v>45933</v>
      </c>
      <c r="J258" s="7">
        <f t="shared" si="36"/>
        <v>2025</v>
      </c>
      <c r="K258" s="7">
        <f t="shared" si="37"/>
        <v>9</v>
      </c>
      <c r="L258" s="7">
        <f t="shared" si="38"/>
        <v>2025</v>
      </c>
      <c r="M258" s="7">
        <f t="shared" si="39"/>
        <v>10</v>
      </c>
      <c r="N258" s="7">
        <f t="shared" si="40"/>
        <v>32</v>
      </c>
    </row>
    <row r="259" spans="1:14" ht="12.75" customHeight="1" x14ac:dyDescent="0.25">
      <c r="A259" s="1" t="s">
        <v>36</v>
      </c>
      <c r="B259" s="34" t="s">
        <v>64</v>
      </c>
      <c r="C259" s="34" t="s">
        <v>62</v>
      </c>
      <c r="D259" s="3" t="s">
        <v>40</v>
      </c>
      <c r="E259" s="3" t="s">
        <v>0</v>
      </c>
      <c r="F259" s="23">
        <v>45931</v>
      </c>
      <c r="G259" s="3">
        <v>6278</v>
      </c>
      <c r="H259" s="6">
        <v>24777.599999999999</v>
      </c>
      <c r="I259" s="23">
        <v>45954</v>
      </c>
      <c r="J259" s="7">
        <f t="shared" ref="J259:J302" si="46">YEAR(F259)</f>
        <v>2025</v>
      </c>
      <c r="K259" s="7">
        <f t="shared" ref="K259:K302" si="47">MONTH(F259)</f>
        <v>10</v>
      </c>
      <c r="L259" s="7">
        <f t="shared" ref="L259:L302" si="48">YEAR(I259)</f>
        <v>2025</v>
      </c>
      <c r="M259" s="7">
        <f t="shared" ref="M259:M302" si="49">MONTH(I259)</f>
        <v>10</v>
      </c>
      <c r="N259" s="7">
        <f t="shared" ref="N259:N302" si="50">+I259-F259</f>
        <v>23</v>
      </c>
    </row>
    <row r="260" spans="1:14" ht="12.75" customHeight="1" x14ac:dyDescent="0.25">
      <c r="A260" s="1" t="s">
        <v>36</v>
      </c>
      <c r="B260" s="34" t="s">
        <v>64</v>
      </c>
      <c r="C260" s="34" t="s">
        <v>62</v>
      </c>
      <c r="D260" s="3" t="s">
        <v>40</v>
      </c>
      <c r="E260" s="3" t="s">
        <v>0</v>
      </c>
      <c r="F260" s="23">
        <v>45962</v>
      </c>
      <c r="G260" s="3">
        <v>6295</v>
      </c>
      <c r="H260" s="6">
        <v>24777.599999999999</v>
      </c>
      <c r="I260" s="23">
        <v>45982</v>
      </c>
      <c r="J260" s="7">
        <f t="shared" si="46"/>
        <v>2025</v>
      </c>
      <c r="K260" s="7">
        <f t="shared" si="47"/>
        <v>11</v>
      </c>
      <c r="L260" s="7">
        <f t="shared" si="48"/>
        <v>2025</v>
      </c>
      <c r="M260" s="7">
        <f t="shared" si="49"/>
        <v>11</v>
      </c>
      <c r="N260" s="7">
        <f t="shared" si="50"/>
        <v>20</v>
      </c>
    </row>
    <row r="261" spans="1:14" ht="12.75" customHeight="1" x14ac:dyDescent="0.25">
      <c r="A261" s="1" t="s">
        <v>36</v>
      </c>
      <c r="B261" s="34" t="s">
        <v>64</v>
      </c>
      <c r="C261" s="34" t="s">
        <v>62</v>
      </c>
      <c r="D261" s="3" t="s">
        <v>40</v>
      </c>
      <c r="E261" s="3" t="s">
        <v>0</v>
      </c>
      <c r="F261" s="23">
        <v>45992</v>
      </c>
      <c r="G261" s="3">
        <v>6313</v>
      </c>
      <c r="H261" s="6">
        <v>24777.599999999999</v>
      </c>
      <c r="I261" s="23">
        <v>46010</v>
      </c>
      <c r="J261" s="7">
        <f t="shared" si="46"/>
        <v>2025</v>
      </c>
      <c r="K261" s="7">
        <f t="shared" si="47"/>
        <v>12</v>
      </c>
      <c r="L261" s="7">
        <f t="shared" si="48"/>
        <v>2025</v>
      </c>
      <c r="M261" s="7">
        <f t="shared" si="49"/>
        <v>12</v>
      </c>
      <c r="N261" s="7">
        <f t="shared" si="50"/>
        <v>18</v>
      </c>
    </row>
    <row r="262" spans="1:14" ht="12.75" customHeight="1" x14ac:dyDescent="0.25">
      <c r="A262" s="1" t="s">
        <v>36</v>
      </c>
      <c r="B262" s="34" t="s">
        <v>64</v>
      </c>
      <c r="C262" s="34" t="s">
        <v>62</v>
      </c>
      <c r="D262" s="3" t="s">
        <v>40</v>
      </c>
      <c r="E262" s="3" t="s">
        <v>0</v>
      </c>
      <c r="F262" s="23">
        <v>46023</v>
      </c>
      <c r="G262" s="3">
        <v>6333</v>
      </c>
      <c r="H262" s="6">
        <v>24777.599999999999</v>
      </c>
      <c r="I262" s="26">
        <f t="shared" ref="I262:I268" si="51">+F262+25</f>
        <v>46048</v>
      </c>
      <c r="J262" s="7">
        <f t="shared" si="46"/>
        <v>2026</v>
      </c>
      <c r="K262" s="7">
        <f t="shared" si="47"/>
        <v>1</v>
      </c>
      <c r="L262" s="7">
        <f t="shared" si="48"/>
        <v>2026</v>
      </c>
      <c r="M262" s="7">
        <f t="shared" si="49"/>
        <v>1</v>
      </c>
      <c r="N262" s="7">
        <f t="shared" si="50"/>
        <v>25</v>
      </c>
    </row>
    <row r="263" spans="1:14" ht="12.75" customHeight="1" x14ac:dyDescent="0.25">
      <c r="A263" s="13" t="s">
        <v>36</v>
      </c>
      <c r="B263" s="14" t="s">
        <v>64</v>
      </c>
      <c r="C263" s="14" t="s">
        <v>62</v>
      </c>
      <c r="D263" s="14" t="s">
        <v>41</v>
      </c>
      <c r="E263" s="14" t="s">
        <v>0</v>
      </c>
      <c r="F263" s="24">
        <v>46054</v>
      </c>
      <c r="G263" s="14" t="s">
        <v>32</v>
      </c>
      <c r="H263" s="15">
        <v>24777.599999999999</v>
      </c>
      <c r="I263" s="26">
        <f t="shared" si="51"/>
        <v>46079</v>
      </c>
      <c r="J263" s="16">
        <f t="shared" si="46"/>
        <v>2026</v>
      </c>
      <c r="K263" s="16">
        <f t="shared" si="47"/>
        <v>2</v>
      </c>
      <c r="L263" s="16">
        <f t="shared" si="48"/>
        <v>2026</v>
      </c>
      <c r="M263" s="16">
        <f t="shared" si="49"/>
        <v>2</v>
      </c>
      <c r="N263" s="16">
        <f t="shared" si="50"/>
        <v>25</v>
      </c>
    </row>
    <row r="264" spans="1:14" ht="12.75" customHeight="1" x14ac:dyDescent="0.25">
      <c r="A264" s="13" t="s">
        <v>36</v>
      </c>
      <c r="B264" s="14" t="s">
        <v>64</v>
      </c>
      <c r="C264" s="14" t="s">
        <v>62</v>
      </c>
      <c r="D264" s="14" t="s">
        <v>41</v>
      </c>
      <c r="E264" s="14" t="s">
        <v>0</v>
      </c>
      <c r="F264" s="24">
        <v>46082</v>
      </c>
      <c r="G264" s="14" t="s">
        <v>32</v>
      </c>
      <c r="H264" s="15">
        <v>24777.599999999999</v>
      </c>
      <c r="I264" s="26">
        <f t="shared" si="51"/>
        <v>46107</v>
      </c>
      <c r="J264" s="16">
        <f t="shared" si="46"/>
        <v>2026</v>
      </c>
      <c r="K264" s="16">
        <f t="shared" si="47"/>
        <v>3</v>
      </c>
      <c r="L264" s="16">
        <f t="shared" si="48"/>
        <v>2026</v>
      </c>
      <c r="M264" s="16">
        <f t="shared" si="49"/>
        <v>3</v>
      </c>
      <c r="N264" s="16">
        <f t="shared" si="50"/>
        <v>25</v>
      </c>
    </row>
    <row r="265" spans="1:14" ht="12.75" customHeight="1" x14ac:dyDescent="0.25">
      <c r="A265" s="13" t="s">
        <v>36</v>
      </c>
      <c r="B265" s="14" t="s">
        <v>64</v>
      </c>
      <c r="C265" s="14" t="s">
        <v>62</v>
      </c>
      <c r="D265" s="14" t="s">
        <v>41</v>
      </c>
      <c r="E265" s="14" t="s">
        <v>0</v>
      </c>
      <c r="F265" s="24">
        <v>46113</v>
      </c>
      <c r="G265" s="14" t="s">
        <v>32</v>
      </c>
      <c r="H265" s="15">
        <v>24777.599999999999</v>
      </c>
      <c r="I265" s="26">
        <f t="shared" si="51"/>
        <v>46138</v>
      </c>
      <c r="J265" s="16">
        <f t="shared" si="46"/>
        <v>2026</v>
      </c>
      <c r="K265" s="16">
        <f t="shared" si="47"/>
        <v>4</v>
      </c>
      <c r="L265" s="16">
        <f t="shared" si="48"/>
        <v>2026</v>
      </c>
      <c r="M265" s="16">
        <f t="shared" si="49"/>
        <v>4</v>
      </c>
      <c r="N265" s="16">
        <f t="shared" si="50"/>
        <v>25</v>
      </c>
    </row>
    <row r="266" spans="1:14" ht="12.75" customHeight="1" x14ac:dyDescent="0.25">
      <c r="A266" s="13" t="s">
        <v>36</v>
      </c>
      <c r="B266" s="14" t="s">
        <v>64</v>
      </c>
      <c r="C266" s="14" t="s">
        <v>62</v>
      </c>
      <c r="D266" s="14" t="s">
        <v>41</v>
      </c>
      <c r="E266" s="14" t="s">
        <v>0</v>
      </c>
      <c r="F266" s="24">
        <v>46143</v>
      </c>
      <c r="G266" s="14" t="s">
        <v>32</v>
      </c>
      <c r="H266" s="15">
        <v>24777.599999999999</v>
      </c>
      <c r="I266" s="26">
        <f t="shared" si="51"/>
        <v>46168</v>
      </c>
      <c r="J266" s="16">
        <f t="shared" si="46"/>
        <v>2026</v>
      </c>
      <c r="K266" s="16">
        <f t="shared" si="47"/>
        <v>5</v>
      </c>
      <c r="L266" s="16">
        <f t="shared" si="48"/>
        <v>2026</v>
      </c>
      <c r="M266" s="16">
        <f t="shared" si="49"/>
        <v>5</v>
      </c>
      <c r="N266" s="16">
        <f t="shared" si="50"/>
        <v>25</v>
      </c>
    </row>
    <row r="267" spans="1:14" ht="12.75" customHeight="1" x14ac:dyDescent="0.25">
      <c r="A267" s="13" t="s">
        <v>36</v>
      </c>
      <c r="B267" s="14" t="s">
        <v>64</v>
      </c>
      <c r="C267" s="14" t="s">
        <v>62</v>
      </c>
      <c r="D267" s="14" t="s">
        <v>41</v>
      </c>
      <c r="E267" s="14" t="s">
        <v>0</v>
      </c>
      <c r="F267" s="24">
        <v>46174</v>
      </c>
      <c r="G267" s="14" t="s">
        <v>32</v>
      </c>
      <c r="H267" s="15">
        <v>24777.599999999999</v>
      </c>
      <c r="I267" s="26">
        <f t="shared" si="51"/>
        <v>46199</v>
      </c>
      <c r="J267" s="16">
        <f t="shared" si="46"/>
        <v>2026</v>
      </c>
      <c r="K267" s="16">
        <f t="shared" si="47"/>
        <v>6</v>
      </c>
      <c r="L267" s="16">
        <f t="shared" si="48"/>
        <v>2026</v>
      </c>
      <c r="M267" s="16">
        <f t="shared" si="49"/>
        <v>6</v>
      </c>
      <c r="N267" s="16">
        <f t="shared" si="50"/>
        <v>25</v>
      </c>
    </row>
    <row r="268" spans="1:14" ht="12.75" customHeight="1" x14ac:dyDescent="0.25">
      <c r="A268" s="13" t="s">
        <v>36</v>
      </c>
      <c r="B268" s="14" t="s">
        <v>64</v>
      </c>
      <c r="C268" s="14" t="s">
        <v>62</v>
      </c>
      <c r="D268" s="14" t="s">
        <v>41</v>
      </c>
      <c r="E268" s="14" t="s">
        <v>0</v>
      </c>
      <c r="F268" s="24">
        <v>46204</v>
      </c>
      <c r="G268" s="14" t="s">
        <v>32</v>
      </c>
      <c r="H268" s="15">
        <v>24777.599999999999</v>
      </c>
      <c r="I268" s="26">
        <f t="shared" si="51"/>
        <v>46229</v>
      </c>
      <c r="J268" s="16">
        <f t="shared" si="46"/>
        <v>2026</v>
      </c>
      <c r="K268" s="16">
        <f t="shared" si="47"/>
        <v>7</v>
      </c>
      <c r="L268" s="16">
        <f t="shared" si="48"/>
        <v>2026</v>
      </c>
      <c r="M268" s="16">
        <f t="shared" si="49"/>
        <v>7</v>
      </c>
      <c r="N268" s="16">
        <f t="shared" si="50"/>
        <v>25</v>
      </c>
    </row>
    <row r="269" spans="1:14" ht="12.75" customHeight="1" x14ac:dyDescent="0.25">
      <c r="A269" s="2" t="s">
        <v>55</v>
      </c>
      <c r="B269" s="3" t="s">
        <v>61</v>
      </c>
      <c r="C269" s="3" t="s">
        <v>66</v>
      </c>
      <c r="D269" s="3" t="s">
        <v>40</v>
      </c>
      <c r="E269" s="3" t="s">
        <v>0</v>
      </c>
      <c r="F269" s="23">
        <v>45596</v>
      </c>
      <c r="G269" s="3">
        <v>6115</v>
      </c>
      <c r="H269" s="6">
        <v>165384</v>
      </c>
      <c r="I269" s="23">
        <v>45702</v>
      </c>
      <c r="J269" s="7">
        <f t="shared" si="46"/>
        <v>2024</v>
      </c>
      <c r="K269" s="7">
        <f t="shared" si="47"/>
        <v>10</v>
      </c>
      <c r="L269" s="7">
        <f t="shared" si="48"/>
        <v>2025</v>
      </c>
      <c r="M269" s="7">
        <f t="shared" si="49"/>
        <v>2</v>
      </c>
      <c r="N269" s="7">
        <f t="shared" si="50"/>
        <v>106</v>
      </c>
    </row>
    <row r="270" spans="1:14" ht="12.75" customHeight="1" x14ac:dyDescent="0.25">
      <c r="A270" s="2" t="s">
        <v>55</v>
      </c>
      <c r="B270" s="3" t="s">
        <v>61</v>
      </c>
      <c r="C270" s="3" t="s">
        <v>66</v>
      </c>
      <c r="D270" s="3" t="s">
        <v>40</v>
      </c>
      <c r="E270" s="3" t="s">
        <v>0</v>
      </c>
      <c r="F270" s="23">
        <v>45688</v>
      </c>
      <c r="G270" s="3">
        <v>6163</v>
      </c>
      <c r="H270" s="6">
        <v>5722.25</v>
      </c>
      <c r="I270" s="23">
        <v>45833</v>
      </c>
      <c r="J270" s="7">
        <f t="shared" si="46"/>
        <v>2025</v>
      </c>
      <c r="K270" s="7">
        <f t="shared" si="47"/>
        <v>1</v>
      </c>
      <c r="L270" s="7">
        <f t="shared" si="48"/>
        <v>2025</v>
      </c>
      <c r="M270" s="7">
        <f t="shared" si="49"/>
        <v>6</v>
      </c>
      <c r="N270" s="7">
        <f t="shared" si="50"/>
        <v>145</v>
      </c>
    </row>
    <row r="271" spans="1:14" ht="12.75" customHeight="1" x14ac:dyDescent="0.25">
      <c r="A271" s="2" t="s">
        <v>55</v>
      </c>
      <c r="B271" s="3" t="s">
        <v>61</v>
      </c>
      <c r="C271" s="3" t="s">
        <v>66</v>
      </c>
      <c r="D271" s="3" t="s">
        <v>40</v>
      </c>
      <c r="E271" s="3" t="s">
        <v>0</v>
      </c>
      <c r="F271" s="23">
        <v>45716</v>
      </c>
      <c r="G271" s="3">
        <v>6176</v>
      </c>
      <c r="H271" s="6">
        <v>41456.5</v>
      </c>
      <c r="I271" s="23">
        <v>45881</v>
      </c>
      <c r="J271" s="7">
        <f t="shared" si="46"/>
        <v>2025</v>
      </c>
      <c r="K271" s="7">
        <f t="shared" si="47"/>
        <v>2</v>
      </c>
      <c r="L271" s="7">
        <f t="shared" si="48"/>
        <v>2025</v>
      </c>
      <c r="M271" s="7">
        <f t="shared" si="49"/>
        <v>8</v>
      </c>
      <c r="N271" s="7">
        <f t="shared" si="50"/>
        <v>165</v>
      </c>
    </row>
    <row r="272" spans="1:14" ht="12.75" customHeight="1" x14ac:dyDescent="0.25">
      <c r="A272" s="2" t="s">
        <v>55</v>
      </c>
      <c r="B272" s="3" t="s">
        <v>61</v>
      </c>
      <c r="C272" s="3" t="s">
        <v>66</v>
      </c>
      <c r="D272" s="3" t="s">
        <v>40</v>
      </c>
      <c r="E272" s="3" t="s">
        <v>0</v>
      </c>
      <c r="F272" s="23">
        <v>45747</v>
      </c>
      <c r="G272" s="3">
        <v>6193</v>
      </c>
      <c r="H272" s="6">
        <v>11534.5</v>
      </c>
      <c r="I272" s="23">
        <v>45960</v>
      </c>
      <c r="J272" s="7">
        <f t="shared" si="46"/>
        <v>2025</v>
      </c>
      <c r="K272" s="7">
        <f t="shared" si="47"/>
        <v>3</v>
      </c>
      <c r="L272" s="7">
        <f t="shared" si="48"/>
        <v>2025</v>
      </c>
      <c r="M272" s="7">
        <f t="shared" si="49"/>
        <v>10</v>
      </c>
      <c r="N272" s="7">
        <f t="shared" si="50"/>
        <v>213</v>
      </c>
    </row>
    <row r="273" spans="1:15" ht="12.75" customHeight="1" x14ac:dyDescent="0.25">
      <c r="A273" s="2" t="s">
        <v>55</v>
      </c>
      <c r="B273" s="3" t="s">
        <v>61</v>
      </c>
      <c r="C273" s="3" t="s">
        <v>66</v>
      </c>
      <c r="D273" s="3" t="s">
        <v>40</v>
      </c>
      <c r="E273" s="3" t="s">
        <v>0</v>
      </c>
      <c r="F273" s="23">
        <v>45777</v>
      </c>
      <c r="G273" s="3">
        <v>6211</v>
      </c>
      <c r="H273" s="6">
        <v>8289</v>
      </c>
      <c r="I273" s="23">
        <v>45853</v>
      </c>
      <c r="J273" s="7">
        <f t="shared" si="46"/>
        <v>2025</v>
      </c>
      <c r="K273" s="7">
        <f t="shared" si="47"/>
        <v>4</v>
      </c>
      <c r="L273" s="7">
        <f t="shared" si="48"/>
        <v>2025</v>
      </c>
      <c r="M273" s="7">
        <f t="shared" si="49"/>
        <v>7</v>
      </c>
      <c r="N273" s="7">
        <f t="shared" si="50"/>
        <v>76</v>
      </c>
    </row>
    <row r="274" spans="1:15" ht="12.75" customHeight="1" x14ac:dyDescent="0.25">
      <c r="A274" s="2" t="s">
        <v>55</v>
      </c>
      <c r="B274" s="3" t="s">
        <v>61</v>
      </c>
      <c r="C274" s="3" t="s">
        <v>66</v>
      </c>
      <c r="D274" s="3" t="s">
        <v>40</v>
      </c>
      <c r="E274" s="3" t="s">
        <v>0</v>
      </c>
      <c r="F274" s="23">
        <v>45777</v>
      </c>
      <c r="G274" s="3">
        <v>6212</v>
      </c>
      <c r="H274" s="6">
        <v>8400</v>
      </c>
      <c r="I274" s="23">
        <v>45960</v>
      </c>
      <c r="J274" s="7">
        <f t="shared" si="46"/>
        <v>2025</v>
      </c>
      <c r="K274" s="7">
        <f t="shared" si="47"/>
        <v>4</v>
      </c>
      <c r="L274" s="7">
        <f t="shared" si="48"/>
        <v>2025</v>
      </c>
      <c r="M274" s="7">
        <f t="shared" si="49"/>
        <v>10</v>
      </c>
      <c r="N274" s="7">
        <f t="shared" si="50"/>
        <v>183</v>
      </c>
    </row>
    <row r="275" spans="1:15" ht="12.75" customHeight="1" x14ac:dyDescent="0.25">
      <c r="A275" s="2" t="s">
        <v>55</v>
      </c>
      <c r="B275" s="3" t="s">
        <v>61</v>
      </c>
      <c r="C275" s="3" t="s">
        <v>66</v>
      </c>
      <c r="D275" s="3" t="s">
        <v>40</v>
      </c>
      <c r="E275" s="3" t="s">
        <v>0</v>
      </c>
      <c r="F275" s="23">
        <v>45808</v>
      </c>
      <c r="G275" s="3">
        <v>6226</v>
      </c>
      <c r="H275" s="6">
        <v>18810</v>
      </c>
      <c r="I275" s="23">
        <v>45925</v>
      </c>
      <c r="J275" s="7">
        <f t="shared" si="46"/>
        <v>2025</v>
      </c>
      <c r="K275" s="7">
        <f t="shared" si="47"/>
        <v>5</v>
      </c>
      <c r="L275" s="7">
        <f t="shared" si="48"/>
        <v>2025</v>
      </c>
      <c r="M275" s="7">
        <f t="shared" si="49"/>
        <v>9</v>
      </c>
      <c r="N275" s="7">
        <f t="shared" si="50"/>
        <v>117</v>
      </c>
      <c r="O275" s="30"/>
    </row>
    <row r="276" spans="1:15" ht="12.75" customHeight="1" x14ac:dyDescent="0.25">
      <c r="A276" s="2" t="s">
        <v>55</v>
      </c>
      <c r="B276" s="3" t="s">
        <v>61</v>
      </c>
      <c r="C276" s="3" t="s">
        <v>66</v>
      </c>
      <c r="D276" s="3" t="s">
        <v>40</v>
      </c>
      <c r="E276" s="3" t="s">
        <v>0</v>
      </c>
      <c r="F276" s="23">
        <v>45808</v>
      </c>
      <c r="G276" s="3">
        <v>6227</v>
      </c>
      <c r="H276" s="6">
        <v>23635.5</v>
      </c>
      <c r="I276" s="23">
        <v>45866</v>
      </c>
      <c r="J276" s="7">
        <f t="shared" si="46"/>
        <v>2025</v>
      </c>
      <c r="K276" s="7">
        <f t="shared" si="47"/>
        <v>5</v>
      </c>
      <c r="L276" s="7">
        <f t="shared" si="48"/>
        <v>2025</v>
      </c>
      <c r="M276" s="7">
        <f t="shared" si="49"/>
        <v>7</v>
      </c>
      <c r="N276" s="7">
        <f t="shared" si="50"/>
        <v>58</v>
      </c>
      <c r="O276" s="30"/>
    </row>
    <row r="277" spans="1:15" ht="12.75" customHeight="1" x14ac:dyDescent="0.25">
      <c r="A277" s="2" t="s">
        <v>55</v>
      </c>
      <c r="B277" s="3" t="s">
        <v>61</v>
      </c>
      <c r="C277" s="3" t="s">
        <v>66</v>
      </c>
      <c r="D277" s="3" t="s">
        <v>40</v>
      </c>
      <c r="E277" s="3" t="s">
        <v>0</v>
      </c>
      <c r="F277" s="23">
        <v>45838</v>
      </c>
      <c r="G277" s="3">
        <v>6240</v>
      </c>
      <c r="H277" s="6">
        <v>274</v>
      </c>
      <c r="I277" s="23">
        <v>45937</v>
      </c>
      <c r="J277" s="7">
        <f t="shared" si="46"/>
        <v>2025</v>
      </c>
      <c r="K277" s="7">
        <f t="shared" si="47"/>
        <v>6</v>
      </c>
      <c r="L277" s="7">
        <f t="shared" si="48"/>
        <v>2025</v>
      </c>
      <c r="M277" s="7">
        <f t="shared" si="49"/>
        <v>10</v>
      </c>
      <c r="N277" s="7">
        <f t="shared" si="50"/>
        <v>99</v>
      </c>
      <c r="O277" s="30"/>
    </row>
    <row r="278" spans="1:15" ht="12.75" customHeight="1" x14ac:dyDescent="0.25">
      <c r="A278" s="2" t="s">
        <v>55</v>
      </c>
      <c r="B278" s="3" t="s">
        <v>61</v>
      </c>
      <c r="C278" s="3" t="s">
        <v>66</v>
      </c>
      <c r="D278" s="3" t="s">
        <v>40</v>
      </c>
      <c r="E278" s="3" t="s">
        <v>0</v>
      </c>
      <c r="F278" s="23">
        <v>45838</v>
      </c>
      <c r="G278" s="3">
        <v>6241</v>
      </c>
      <c r="H278" s="6">
        <v>10984.5</v>
      </c>
      <c r="I278" s="23">
        <v>45866</v>
      </c>
      <c r="J278" s="7">
        <f t="shared" si="46"/>
        <v>2025</v>
      </c>
      <c r="K278" s="7">
        <f t="shared" si="47"/>
        <v>6</v>
      </c>
      <c r="L278" s="7">
        <f t="shared" si="48"/>
        <v>2025</v>
      </c>
      <c r="M278" s="7">
        <f t="shared" si="49"/>
        <v>7</v>
      </c>
      <c r="N278" s="7">
        <f t="shared" si="50"/>
        <v>28</v>
      </c>
      <c r="O278" s="30"/>
    </row>
    <row r="279" spans="1:15" ht="12.75" customHeight="1" x14ac:dyDescent="0.25">
      <c r="A279" s="2" t="s">
        <v>55</v>
      </c>
      <c r="B279" s="3" t="s">
        <v>61</v>
      </c>
      <c r="C279" s="3" t="s">
        <v>66</v>
      </c>
      <c r="D279" s="3" t="s">
        <v>40</v>
      </c>
      <c r="E279" s="3" t="s">
        <v>0</v>
      </c>
      <c r="F279" s="23">
        <v>45869</v>
      </c>
      <c r="G279" s="3">
        <v>6253</v>
      </c>
      <c r="H279" s="6">
        <v>6011</v>
      </c>
      <c r="I279" s="23">
        <v>45965</v>
      </c>
      <c r="J279" s="7">
        <f t="shared" si="46"/>
        <v>2025</v>
      </c>
      <c r="K279" s="7">
        <f t="shared" si="47"/>
        <v>7</v>
      </c>
      <c r="L279" s="7">
        <f t="shared" si="48"/>
        <v>2025</v>
      </c>
      <c r="M279" s="7">
        <f t="shared" si="49"/>
        <v>11</v>
      </c>
      <c r="N279" s="7">
        <f t="shared" si="50"/>
        <v>96</v>
      </c>
      <c r="O279" s="30"/>
    </row>
    <row r="280" spans="1:15" ht="12.75" customHeight="1" x14ac:dyDescent="0.25">
      <c r="A280" s="2" t="s">
        <v>55</v>
      </c>
      <c r="B280" s="3" t="s">
        <v>61</v>
      </c>
      <c r="C280" s="3" t="s">
        <v>66</v>
      </c>
      <c r="D280" s="3" t="s">
        <v>40</v>
      </c>
      <c r="E280" s="3" t="s">
        <v>0</v>
      </c>
      <c r="F280" s="23">
        <v>45869</v>
      </c>
      <c r="G280" s="3">
        <v>6254</v>
      </c>
      <c r="H280" s="6">
        <v>11452</v>
      </c>
      <c r="I280" s="23">
        <v>46001</v>
      </c>
      <c r="J280" s="7">
        <f t="shared" si="46"/>
        <v>2025</v>
      </c>
      <c r="K280" s="7">
        <f t="shared" si="47"/>
        <v>7</v>
      </c>
      <c r="L280" s="7">
        <f t="shared" si="48"/>
        <v>2025</v>
      </c>
      <c r="M280" s="7">
        <f t="shared" si="49"/>
        <v>12</v>
      </c>
      <c r="N280" s="7">
        <f t="shared" si="50"/>
        <v>132</v>
      </c>
      <c r="O280" s="30"/>
    </row>
    <row r="281" spans="1:15" ht="12.75" customHeight="1" x14ac:dyDescent="0.25">
      <c r="A281" s="2" t="s">
        <v>55</v>
      </c>
      <c r="B281" s="3" t="s">
        <v>61</v>
      </c>
      <c r="C281" s="3" t="s">
        <v>66</v>
      </c>
      <c r="D281" s="3" t="s">
        <v>40</v>
      </c>
      <c r="E281" s="3" t="s">
        <v>0</v>
      </c>
      <c r="F281" s="23">
        <v>45900</v>
      </c>
      <c r="G281" s="3">
        <v>6271</v>
      </c>
      <c r="H281" s="6">
        <v>3819</v>
      </c>
      <c r="I281" s="23">
        <v>46001</v>
      </c>
      <c r="J281" s="7">
        <f t="shared" si="46"/>
        <v>2025</v>
      </c>
      <c r="K281" s="7">
        <f t="shared" si="47"/>
        <v>8</v>
      </c>
      <c r="L281" s="7">
        <f t="shared" si="48"/>
        <v>2025</v>
      </c>
      <c r="M281" s="7">
        <f t="shared" si="49"/>
        <v>12</v>
      </c>
      <c r="N281" s="7">
        <f t="shared" si="50"/>
        <v>101</v>
      </c>
      <c r="O281" s="30"/>
    </row>
    <row r="282" spans="1:15" ht="12.75" customHeight="1" x14ac:dyDescent="0.25">
      <c r="A282" s="2" t="s">
        <v>55</v>
      </c>
      <c r="B282" s="3" t="s">
        <v>61</v>
      </c>
      <c r="C282" s="3" t="s">
        <v>66</v>
      </c>
      <c r="D282" s="3" t="s">
        <v>40</v>
      </c>
      <c r="E282" s="3" t="s">
        <v>0</v>
      </c>
      <c r="F282" s="23">
        <v>45930</v>
      </c>
      <c r="G282" s="3">
        <v>6282</v>
      </c>
      <c r="H282" s="6">
        <v>1370</v>
      </c>
      <c r="I282" s="26">
        <v>46023</v>
      </c>
      <c r="J282" s="7">
        <f t="shared" si="46"/>
        <v>2025</v>
      </c>
      <c r="K282" s="7">
        <f t="shared" si="47"/>
        <v>9</v>
      </c>
      <c r="L282" s="7">
        <f t="shared" si="48"/>
        <v>2026</v>
      </c>
      <c r="M282" s="7">
        <f t="shared" si="49"/>
        <v>1</v>
      </c>
      <c r="N282" s="7">
        <f t="shared" si="50"/>
        <v>93</v>
      </c>
      <c r="O282" s="30"/>
    </row>
    <row r="283" spans="1:15" ht="12.75" customHeight="1" x14ac:dyDescent="0.25">
      <c r="A283" s="2" t="s">
        <v>54</v>
      </c>
      <c r="B283" s="3" t="s">
        <v>61</v>
      </c>
      <c r="C283" s="3" t="s">
        <v>66</v>
      </c>
      <c r="D283" s="3" t="s">
        <v>40</v>
      </c>
      <c r="E283" s="3" t="s">
        <v>0</v>
      </c>
      <c r="F283" s="23">
        <v>45891</v>
      </c>
      <c r="G283" s="3">
        <v>6261</v>
      </c>
      <c r="H283" s="6">
        <v>176170</v>
      </c>
      <c r="I283" s="23">
        <v>46001</v>
      </c>
      <c r="J283" s="7">
        <f t="shared" si="46"/>
        <v>2025</v>
      </c>
      <c r="K283" s="7">
        <f t="shared" si="47"/>
        <v>8</v>
      </c>
      <c r="L283" s="7">
        <f t="shared" si="48"/>
        <v>2025</v>
      </c>
      <c r="M283" s="7">
        <f t="shared" si="49"/>
        <v>12</v>
      </c>
      <c r="N283" s="7">
        <f t="shared" si="50"/>
        <v>110</v>
      </c>
    </row>
    <row r="284" spans="1:15" ht="12.75" customHeight="1" x14ac:dyDescent="0.25">
      <c r="A284" s="2" t="s">
        <v>54</v>
      </c>
      <c r="B284" s="3" t="s">
        <v>61</v>
      </c>
      <c r="C284" s="3" t="s">
        <v>66</v>
      </c>
      <c r="D284" s="3" t="s">
        <v>40</v>
      </c>
      <c r="E284" s="3" t="s">
        <v>0</v>
      </c>
      <c r="F284" s="23">
        <v>45991</v>
      </c>
      <c r="G284" s="3">
        <v>6319</v>
      </c>
      <c r="H284" s="6">
        <v>31017</v>
      </c>
      <c r="I284" s="26">
        <f t="shared" ref="I284:I286" si="52">+F284+90</f>
        <v>46081</v>
      </c>
      <c r="J284" s="16">
        <f t="shared" si="46"/>
        <v>2025</v>
      </c>
      <c r="K284" s="16">
        <f t="shared" si="47"/>
        <v>11</v>
      </c>
      <c r="L284" s="16">
        <f t="shared" si="48"/>
        <v>2026</v>
      </c>
      <c r="M284" s="16">
        <f t="shared" si="49"/>
        <v>2</v>
      </c>
      <c r="N284" s="16">
        <f t="shared" si="50"/>
        <v>90</v>
      </c>
    </row>
    <row r="285" spans="1:15" ht="12.75" customHeight="1" x14ac:dyDescent="0.25">
      <c r="A285" s="2" t="s">
        <v>54</v>
      </c>
      <c r="B285" s="3" t="s">
        <v>61</v>
      </c>
      <c r="C285" s="3" t="s">
        <v>66</v>
      </c>
      <c r="D285" s="3" t="s">
        <v>40</v>
      </c>
      <c r="E285" s="3" t="s">
        <v>0</v>
      </c>
      <c r="F285" s="23">
        <v>46003</v>
      </c>
      <c r="G285" s="3">
        <v>6325</v>
      </c>
      <c r="H285" s="6">
        <v>8937</v>
      </c>
      <c r="I285" s="26">
        <f t="shared" si="52"/>
        <v>46093</v>
      </c>
      <c r="J285" s="16">
        <f t="shared" si="46"/>
        <v>2025</v>
      </c>
      <c r="K285" s="16">
        <f t="shared" si="47"/>
        <v>12</v>
      </c>
      <c r="L285" s="16">
        <f t="shared" si="48"/>
        <v>2026</v>
      </c>
      <c r="M285" s="16">
        <f t="shared" si="49"/>
        <v>3</v>
      </c>
      <c r="N285" s="16">
        <f t="shared" si="50"/>
        <v>90</v>
      </c>
    </row>
    <row r="286" spans="1:15" ht="12.75" customHeight="1" x14ac:dyDescent="0.25">
      <c r="A286" s="13" t="s">
        <v>54</v>
      </c>
      <c r="B286" s="14" t="s">
        <v>61</v>
      </c>
      <c r="C286" s="14" t="s">
        <v>66</v>
      </c>
      <c r="D286" s="14" t="s">
        <v>41</v>
      </c>
      <c r="E286" s="14" t="s">
        <v>0</v>
      </c>
      <c r="F286" s="24">
        <v>46053</v>
      </c>
      <c r="G286" s="14" t="s">
        <v>32</v>
      </c>
      <c r="H286" s="15">
        <f>246620-SUM(H283:H285)</f>
        <v>30496</v>
      </c>
      <c r="I286" s="26">
        <f t="shared" si="52"/>
        <v>46143</v>
      </c>
      <c r="J286" s="16">
        <f t="shared" si="46"/>
        <v>2026</v>
      </c>
      <c r="K286" s="16">
        <f t="shared" si="47"/>
        <v>1</v>
      </c>
      <c r="L286" s="16">
        <f t="shared" si="48"/>
        <v>2026</v>
      </c>
      <c r="M286" s="16">
        <f t="shared" si="49"/>
        <v>5</v>
      </c>
      <c r="N286" s="16">
        <f t="shared" si="50"/>
        <v>90</v>
      </c>
    </row>
    <row r="287" spans="1:15" ht="12.75" customHeight="1" x14ac:dyDescent="0.25">
      <c r="A287" s="13" t="s">
        <v>133</v>
      </c>
      <c r="B287" s="14" t="s">
        <v>61</v>
      </c>
      <c r="C287" s="14" t="s">
        <v>66</v>
      </c>
      <c r="D287" s="14" t="s">
        <v>41</v>
      </c>
      <c r="E287" s="14" t="s">
        <v>0</v>
      </c>
      <c r="F287" s="24">
        <v>46081</v>
      </c>
      <c r="G287" s="14" t="s">
        <v>32</v>
      </c>
      <c r="H287" s="15">
        <f>54949</f>
        <v>54949</v>
      </c>
      <c r="I287" s="26">
        <f t="shared" ref="I287" si="53">+F287+90</f>
        <v>46171</v>
      </c>
      <c r="J287" s="16">
        <f t="shared" si="46"/>
        <v>2026</v>
      </c>
      <c r="K287" s="16">
        <f t="shared" si="47"/>
        <v>2</v>
      </c>
      <c r="L287" s="16">
        <f t="shared" si="48"/>
        <v>2026</v>
      </c>
      <c r="M287" s="16">
        <f t="shared" si="49"/>
        <v>5</v>
      </c>
      <c r="N287" s="16">
        <f t="shared" si="50"/>
        <v>90</v>
      </c>
    </row>
    <row r="288" spans="1:15" ht="12.75" customHeight="1" x14ac:dyDescent="0.25">
      <c r="A288" s="2" t="s">
        <v>50</v>
      </c>
      <c r="B288" s="3" t="s">
        <v>64</v>
      </c>
      <c r="C288" s="3" t="s">
        <v>66</v>
      </c>
      <c r="D288" s="3" t="s">
        <v>40</v>
      </c>
      <c r="E288" s="3" t="s">
        <v>0</v>
      </c>
      <c r="F288" s="23">
        <v>45838</v>
      </c>
      <c r="G288" s="3">
        <v>6235</v>
      </c>
      <c r="H288" s="6">
        <v>12000</v>
      </c>
      <c r="I288" s="23">
        <v>45863</v>
      </c>
      <c r="J288" s="7">
        <f t="shared" si="46"/>
        <v>2025</v>
      </c>
      <c r="K288" s="7">
        <f t="shared" si="47"/>
        <v>6</v>
      </c>
      <c r="L288" s="7">
        <f t="shared" si="48"/>
        <v>2025</v>
      </c>
      <c r="M288" s="7">
        <f t="shared" si="49"/>
        <v>7</v>
      </c>
      <c r="N288" s="7">
        <f t="shared" si="50"/>
        <v>25</v>
      </c>
    </row>
    <row r="289" spans="1:14" ht="12.75" customHeight="1" x14ac:dyDescent="0.25">
      <c r="A289" s="2" t="s">
        <v>50</v>
      </c>
      <c r="B289" s="3" t="s">
        <v>64</v>
      </c>
      <c r="C289" s="3" t="s">
        <v>66</v>
      </c>
      <c r="D289" s="3" t="s">
        <v>40</v>
      </c>
      <c r="E289" s="3" t="s">
        <v>0</v>
      </c>
      <c r="F289" s="23">
        <v>45838</v>
      </c>
      <c r="G289" s="3">
        <v>6237</v>
      </c>
      <c r="H289" s="6">
        <v>5000</v>
      </c>
      <c r="I289" s="23">
        <v>45873</v>
      </c>
      <c r="J289" s="7">
        <f t="shared" si="46"/>
        <v>2025</v>
      </c>
      <c r="K289" s="7">
        <f t="shared" si="47"/>
        <v>6</v>
      </c>
      <c r="L289" s="7">
        <f t="shared" si="48"/>
        <v>2025</v>
      </c>
      <c r="M289" s="7">
        <f t="shared" si="49"/>
        <v>8</v>
      </c>
      <c r="N289" s="7">
        <f t="shared" si="50"/>
        <v>35</v>
      </c>
    </row>
    <row r="290" spans="1:14" ht="12.75" customHeight="1" x14ac:dyDescent="0.25">
      <c r="A290" s="2" t="s">
        <v>50</v>
      </c>
      <c r="B290" s="3" t="s">
        <v>64</v>
      </c>
      <c r="C290" s="3" t="s">
        <v>66</v>
      </c>
      <c r="D290" s="3" t="s">
        <v>40</v>
      </c>
      <c r="E290" s="3" t="s">
        <v>0</v>
      </c>
      <c r="F290" s="23">
        <v>45962</v>
      </c>
      <c r="G290" s="3">
        <v>6300</v>
      </c>
      <c r="H290" s="6">
        <v>4000</v>
      </c>
      <c r="I290" s="23">
        <v>46001</v>
      </c>
      <c r="J290" s="7">
        <f t="shared" si="46"/>
        <v>2025</v>
      </c>
      <c r="K290" s="7">
        <f t="shared" si="47"/>
        <v>11</v>
      </c>
      <c r="L290" s="7">
        <f t="shared" si="48"/>
        <v>2025</v>
      </c>
      <c r="M290" s="7">
        <f t="shared" si="49"/>
        <v>12</v>
      </c>
      <c r="N290" s="7">
        <f t="shared" si="50"/>
        <v>39</v>
      </c>
    </row>
    <row r="291" spans="1:14" ht="12.75" customHeight="1" x14ac:dyDescent="0.25">
      <c r="A291" s="2" t="s">
        <v>51</v>
      </c>
      <c r="B291" s="3" t="s">
        <v>64</v>
      </c>
      <c r="C291" s="3" t="s">
        <v>66</v>
      </c>
      <c r="D291" s="3" t="s">
        <v>40</v>
      </c>
      <c r="E291" s="3" t="s">
        <v>0</v>
      </c>
      <c r="F291" s="23">
        <v>45962</v>
      </c>
      <c r="G291" s="3">
        <v>6301</v>
      </c>
      <c r="H291" s="6">
        <v>3000</v>
      </c>
      <c r="I291" s="23">
        <v>46001</v>
      </c>
      <c r="J291" s="7">
        <f t="shared" si="46"/>
        <v>2025</v>
      </c>
      <c r="K291" s="7">
        <f t="shared" si="47"/>
        <v>11</v>
      </c>
      <c r="L291" s="7">
        <f t="shared" si="48"/>
        <v>2025</v>
      </c>
      <c r="M291" s="7">
        <f t="shared" si="49"/>
        <v>12</v>
      </c>
      <c r="N291" s="7">
        <f t="shared" si="50"/>
        <v>39</v>
      </c>
    </row>
    <row r="292" spans="1:14" ht="12.75" customHeight="1" x14ac:dyDescent="0.25">
      <c r="A292" s="2" t="s">
        <v>51</v>
      </c>
      <c r="B292" s="3" t="s">
        <v>64</v>
      </c>
      <c r="C292" s="3" t="s">
        <v>66</v>
      </c>
      <c r="D292" s="3" t="s">
        <v>40</v>
      </c>
      <c r="E292" s="3" t="s">
        <v>0</v>
      </c>
      <c r="F292" s="23">
        <v>45992</v>
      </c>
      <c r="G292" s="3">
        <v>6317</v>
      </c>
      <c r="H292" s="6">
        <v>3000</v>
      </c>
      <c r="I292" s="26">
        <f t="shared" ref="I292:I302" si="54">+F292+45</f>
        <v>46037</v>
      </c>
      <c r="J292" s="7">
        <f t="shared" si="46"/>
        <v>2025</v>
      </c>
      <c r="K292" s="7">
        <f t="shared" si="47"/>
        <v>12</v>
      </c>
      <c r="L292" s="7">
        <f t="shared" si="48"/>
        <v>2026</v>
      </c>
      <c r="M292" s="7">
        <f t="shared" si="49"/>
        <v>1</v>
      </c>
      <c r="N292" s="7">
        <f t="shared" si="50"/>
        <v>45</v>
      </c>
    </row>
    <row r="293" spans="1:14" ht="12.75" customHeight="1" x14ac:dyDescent="0.25">
      <c r="A293" s="2" t="s">
        <v>51</v>
      </c>
      <c r="B293" s="3" t="s">
        <v>64</v>
      </c>
      <c r="C293" s="3" t="s">
        <v>66</v>
      </c>
      <c r="D293" s="3" t="s">
        <v>40</v>
      </c>
      <c r="E293" s="3" t="s">
        <v>0</v>
      </c>
      <c r="F293" s="23">
        <v>46023</v>
      </c>
      <c r="G293" s="3">
        <v>6337</v>
      </c>
      <c r="H293" s="6">
        <v>3000</v>
      </c>
      <c r="I293" s="26">
        <f t="shared" si="54"/>
        <v>46068</v>
      </c>
      <c r="J293" s="7">
        <f t="shared" si="46"/>
        <v>2026</v>
      </c>
      <c r="K293" s="7">
        <f t="shared" si="47"/>
        <v>1</v>
      </c>
      <c r="L293" s="7">
        <f t="shared" si="48"/>
        <v>2026</v>
      </c>
      <c r="M293" s="7">
        <f t="shared" si="49"/>
        <v>2</v>
      </c>
      <c r="N293" s="7">
        <f t="shared" si="50"/>
        <v>45</v>
      </c>
    </row>
    <row r="294" spans="1:14" ht="12.75" customHeight="1" x14ac:dyDescent="0.25">
      <c r="A294" s="13" t="s">
        <v>51</v>
      </c>
      <c r="B294" s="14" t="s">
        <v>64</v>
      </c>
      <c r="C294" s="14" t="s">
        <v>66</v>
      </c>
      <c r="D294" s="14" t="s">
        <v>41</v>
      </c>
      <c r="E294" s="14" t="s">
        <v>0</v>
      </c>
      <c r="F294" s="24">
        <v>46054</v>
      </c>
      <c r="G294" s="14" t="s">
        <v>32</v>
      </c>
      <c r="H294" s="15">
        <v>3000</v>
      </c>
      <c r="I294" s="26">
        <f t="shared" ref="I294:I301" si="55">+F294+45</f>
        <v>46099</v>
      </c>
      <c r="J294" s="16">
        <f t="shared" si="46"/>
        <v>2026</v>
      </c>
      <c r="K294" s="16">
        <f t="shared" si="47"/>
        <v>2</v>
      </c>
      <c r="L294" s="16">
        <f t="shared" si="48"/>
        <v>2026</v>
      </c>
      <c r="M294" s="16">
        <f t="shared" si="49"/>
        <v>3</v>
      </c>
      <c r="N294" s="16">
        <f t="shared" si="50"/>
        <v>45</v>
      </c>
    </row>
    <row r="295" spans="1:14" ht="12.75" customHeight="1" x14ac:dyDescent="0.25">
      <c r="A295" s="13" t="s">
        <v>51</v>
      </c>
      <c r="B295" s="14" t="s">
        <v>64</v>
      </c>
      <c r="C295" s="14" t="s">
        <v>66</v>
      </c>
      <c r="D295" s="14" t="s">
        <v>41</v>
      </c>
      <c r="E295" s="14" t="s">
        <v>0</v>
      </c>
      <c r="F295" s="24">
        <v>46082</v>
      </c>
      <c r="G295" s="14" t="s">
        <v>32</v>
      </c>
      <c r="H295" s="15">
        <v>3000</v>
      </c>
      <c r="I295" s="26">
        <f t="shared" si="55"/>
        <v>46127</v>
      </c>
      <c r="J295" s="16">
        <f t="shared" si="46"/>
        <v>2026</v>
      </c>
      <c r="K295" s="16">
        <f t="shared" si="47"/>
        <v>3</v>
      </c>
      <c r="L295" s="16">
        <f t="shared" si="48"/>
        <v>2026</v>
      </c>
      <c r="M295" s="16">
        <f t="shared" si="49"/>
        <v>4</v>
      </c>
      <c r="N295" s="16">
        <f t="shared" si="50"/>
        <v>45</v>
      </c>
    </row>
    <row r="296" spans="1:14" ht="12.75" customHeight="1" x14ac:dyDescent="0.25">
      <c r="A296" s="13" t="s">
        <v>51</v>
      </c>
      <c r="B296" s="14" t="s">
        <v>64</v>
      </c>
      <c r="C296" s="14" t="s">
        <v>66</v>
      </c>
      <c r="D296" s="14" t="s">
        <v>41</v>
      </c>
      <c r="E296" s="14" t="s">
        <v>0</v>
      </c>
      <c r="F296" s="24">
        <v>46113</v>
      </c>
      <c r="G296" s="14" t="s">
        <v>32</v>
      </c>
      <c r="H296" s="15">
        <v>3000</v>
      </c>
      <c r="I296" s="26">
        <f t="shared" si="55"/>
        <v>46158</v>
      </c>
      <c r="J296" s="16">
        <f t="shared" si="46"/>
        <v>2026</v>
      </c>
      <c r="K296" s="16">
        <f t="shared" si="47"/>
        <v>4</v>
      </c>
      <c r="L296" s="16">
        <f t="shared" si="48"/>
        <v>2026</v>
      </c>
      <c r="M296" s="16">
        <f t="shared" si="49"/>
        <v>5</v>
      </c>
      <c r="N296" s="16">
        <f t="shared" si="50"/>
        <v>45</v>
      </c>
    </row>
    <row r="297" spans="1:14" ht="12.75" customHeight="1" x14ac:dyDescent="0.25">
      <c r="A297" s="13" t="s">
        <v>51</v>
      </c>
      <c r="B297" s="14" t="s">
        <v>64</v>
      </c>
      <c r="C297" s="14" t="s">
        <v>66</v>
      </c>
      <c r="D297" s="14" t="s">
        <v>41</v>
      </c>
      <c r="E297" s="14" t="s">
        <v>0</v>
      </c>
      <c r="F297" s="24">
        <v>46143</v>
      </c>
      <c r="G297" s="14" t="s">
        <v>32</v>
      </c>
      <c r="H297" s="15">
        <v>3000</v>
      </c>
      <c r="I297" s="26">
        <f t="shared" si="55"/>
        <v>46188</v>
      </c>
      <c r="J297" s="16">
        <f t="shared" si="46"/>
        <v>2026</v>
      </c>
      <c r="K297" s="16">
        <f t="shared" si="47"/>
        <v>5</v>
      </c>
      <c r="L297" s="16">
        <f t="shared" si="48"/>
        <v>2026</v>
      </c>
      <c r="M297" s="16">
        <f t="shared" si="49"/>
        <v>6</v>
      </c>
      <c r="N297" s="16">
        <f t="shared" si="50"/>
        <v>45</v>
      </c>
    </row>
    <row r="298" spans="1:14" ht="12.75" customHeight="1" x14ac:dyDescent="0.25">
      <c r="A298" s="13" t="s">
        <v>51</v>
      </c>
      <c r="B298" s="14" t="s">
        <v>64</v>
      </c>
      <c r="C298" s="14" t="s">
        <v>66</v>
      </c>
      <c r="D298" s="14" t="s">
        <v>41</v>
      </c>
      <c r="E298" s="14" t="s">
        <v>0</v>
      </c>
      <c r="F298" s="24">
        <v>46174</v>
      </c>
      <c r="G298" s="14" t="s">
        <v>32</v>
      </c>
      <c r="H298" s="15">
        <v>3000</v>
      </c>
      <c r="I298" s="26">
        <f t="shared" si="55"/>
        <v>46219</v>
      </c>
      <c r="J298" s="16">
        <f t="shared" si="46"/>
        <v>2026</v>
      </c>
      <c r="K298" s="16">
        <f t="shared" si="47"/>
        <v>6</v>
      </c>
      <c r="L298" s="16">
        <f t="shared" si="48"/>
        <v>2026</v>
      </c>
      <c r="M298" s="16">
        <f t="shared" si="49"/>
        <v>7</v>
      </c>
      <c r="N298" s="16">
        <f t="shared" si="50"/>
        <v>45</v>
      </c>
    </row>
    <row r="299" spans="1:14" ht="12.75" customHeight="1" x14ac:dyDescent="0.25">
      <c r="A299" s="13" t="s">
        <v>51</v>
      </c>
      <c r="B299" s="14" t="s">
        <v>64</v>
      </c>
      <c r="C299" s="14" t="s">
        <v>66</v>
      </c>
      <c r="D299" s="14" t="s">
        <v>41</v>
      </c>
      <c r="E299" s="14" t="s">
        <v>0</v>
      </c>
      <c r="F299" s="24">
        <v>46204</v>
      </c>
      <c r="G299" s="14" t="s">
        <v>32</v>
      </c>
      <c r="H299" s="15">
        <v>3000</v>
      </c>
      <c r="I299" s="26">
        <f t="shared" si="55"/>
        <v>46249</v>
      </c>
      <c r="J299" s="16">
        <f t="shared" si="46"/>
        <v>2026</v>
      </c>
      <c r="K299" s="16">
        <f t="shared" si="47"/>
        <v>7</v>
      </c>
      <c r="L299" s="16">
        <f t="shared" si="48"/>
        <v>2026</v>
      </c>
      <c r="M299" s="16">
        <f t="shared" si="49"/>
        <v>8</v>
      </c>
      <c r="N299" s="16">
        <f t="shared" si="50"/>
        <v>45</v>
      </c>
    </row>
    <row r="300" spans="1:14" ht="12.75" customHeight="1" x14ac:dyDescent="0.25">
      <c r="A300" s="13" t="s">
        <v>51</v>
      </c>
      <c r="B300" s="14" t="s">
        <v>64</v>
      </c>
      <c r="C300" s="14" t="s">
        <v>66</v>
      </c>
      <c r="D300" s="14" t="s">
        <v>41</v>
      </c>
      <c r="E300" s="14" t="s">
        <v>0</v>
      </c>
      <c r="F300" s="24">
        <v>46235</v>
      </c>
      <c r="G300" s="14" t="s">
        <v>32</v>
      </c>
      <c r="H300" s="15">
        <v>3000</v>
      </c>
      <c r="I300" s="26">
        <f t="shared" si="55"/>
        <v>46280</v>
      </c>
      <c r="J300" s="16">
        <f t="shared" si="46"/>
        <v>2026</v>
      </c>
      <c r="K300" s="16">
        <f t="shared" si="47"/>
        <v>8</v>
      </c>
      <c r="L300" s="16">
        <f t="shared" si="48"/>
        <v>2026</v>
      </c>
      <c r="M300" s="16">
        <f t="shared" si="49"/>
        <v>9</v>
      </c>
      <c r="N300" s="16">
        <f t="shared" si="50"/>
        <v>45</v>
      </c>
    </row>
    <row r="301" spans="1:14" ht="12.75" customHeight="1" x14ac:dyDescent="0.25">
      <c r="A301" s="13" t="s">
        <v>51</v>
      </c>
      <c r="B301" s="14" t="s">
        <v>64</v>
      </c>
      <c r="C301" s="14" t="s">
        <v>66</v>
      </c>
      <c r="D301" s="14" t="s">
        <v>41</v>
      </c>
      <c r="E301" s="14" t="s">
        <v>0</v>
      </c>
      <c r="F301" s="24">
        <v>46266</v>
      </c>
      <c r="G301" s="14" t="s">
        <v>32</v>
      </c>
      <c r="H301" s="15">
        <v>3000</v>
      </c>
      <c r="I301" s="26">
        <f t="shared" si="55"/>
        <v>46311</v>
      </c>
      <c r="J301" s="16">
        <f t="shared" si="46"/>
        <v>2026</v>
      </c>
      <c r="K301" s="16">
        <f t="shared" si="47"/>
        <v>9</v>
      </c>
      <c r="L301" s="16">
        <f t="shared" si="48"/>
        <v>2026</v>
      </c>
      <c r="M301" s="16">
        <f t="shared" si="49"/>
        <v>10</v>
      </c>
      <c r="N301" s="16">
        <f t="shared" si="50"/>
        <v>45</v>
      </c>
    </row>
    <row r="302" spans="1:14" ht="12.75" customHeight="1" x14ac:dyDescent="0.25">
      <c r="A302" s="13" t="s">
        <v>51</v>
      </c>
      <c r="B302" s="14" t="s">
        <v>64</v>
      </c>
      <c r="C302" s="14" t="s">
        <v>66</v>
      </c>
      <c r="D302" s="14" t="s">
        <v>41</v>
      </c>
      <c r="E302" s="14" t="s">
        <v>0</v>
      </c>
      <c r="F302" s="24">
        <v>46296</v>
      </c>
      <c r="G302" s="14" t="s">
        <v>32</v>
      </c>
      <c r="H302" s="15">
        <v>3000</v>
      </c>
      <c r="I302" s="26">
        <f t="shared" si="54"/>
        <v>46341</v>
      </c>
      <c r="J302" s="16">
        <f t="shared" si="46"/>
        <v>2026</v>
      </c>
      <c r="K302" s="16">
        <f t="shared" si="47"/>
        <v>10</v>
      </c>
      <c r="L302" s="16">
        <f t="shared" si="48"/>
        <v>2026</v>
      </c>
      <c r="M302" s="16">
        <f t="shared" si="49"/>
        <v>11</v>
      </c>
      <c r="N302" s="16">
        <f t="shared" si="50"/>
        <v>45</v>
      </c>
    </row>
    <row r="304" spans="1:14" ht="12.75" customHeight="1" x14ac:dyDescent="0.25">
      <c r="H304" s="6">
        <v>299810</v>
      </c>
    </row>
    <row r="305" spans="6:9" ht="12.75" customHeight="1" x14ac:dyDescent="0.25">
      <c r="H305" s="6">
        <v>299810</v>
      </c>
    </row>
    <row r="306" spans="6:9" ht="12.75" customHeight="1" x14ac:dyDescent="0.25">
      <c r="H306" s="6"/>
    </row>
    <row r="307" spans="6:9" ht="12.75" customHeight="1" x14ac:dyDescent="0.25">
      <c r="H307" s="6">
        <f>+H272+H274</f>
        <v>19934.5</v>
      </c>
    </row>
    <row r="308" spans="6:9" ht="12.75" customHeight="1" x14ac:dyDescent="0.25">
      <c r="H308" s="6">
        <f>+H309-H283</f>
        <v>69830</v>
      </c>
    </row>
    <row r="309" spans="6:9" ht="12.75" customHeight="1" x14ac:dyDescent="0.25">
      <c r="H309" s="6">
        <v>246000</v>
      </c>
    </row>
    <row r="310" spans="6:9" ht="12.75" customHeight="1" x14ac:dyDescent="0.25">
      <c r="H310" s="6">
        <f>+H307</f>
        <v>19934.5</v>
      </c>
    </row>
    <row r="312" spans="6:9" ht="12.75" customHeight="1" x14ac:dyDescent="0.25">
      <c r="H312" s="6">
        <f>+H283</f>
        <v>176170</v>
      </c>
      <c r="I312" s="6">
        <f>+H312+H307</f>
        <v>196104.5</v>
      </c>
    </row>
    <row r="313" spans="6:9" ht="12.75" customHeight="1" x14ac:dyDescent="0.25">
      <c r="H313" s="6">
        <f>-H307</f>
        <v>-19934.5</v>
      </c>
    </row>
    <row r="314" spans="6:9" ht="12.75" customHeight="1" x14ac:dyDescent="0.25">
      <c r="H314" s="6">
        <f>+H312+H313</f>
        <v>156235.5</v>
      </c>
    </row>
    <row r="316" spans="6:9" ht="12.75" customHeight="1" x14ac:dyDescent="0.25">
      <c r="H316" s="6">
        <v>246620</v>
      </c>
    </row>
    <row r="317" spans="6:9" ht="12.75" customHeight="1" x14ac:dyDescent="0.25">
      <c r="H317" s="6">
        <f>+H316/16*-1</f>
        <v>-15413.75</v>
      </c>
      <c r="I317" s="6"/>
    </row>
    <row r="318" spans="6:9" ht="12.75" customHeight="1" x14ac:dyDescent="0.25">
      <c r="H318" s="6"/>
      <c r="I318" s="6"/>
    </row>
    <row r="319" spans="6:9" ht="12.75" customHeight="1" x14ac:dyDescent="0.25">
      <c r="F319" s="49"/>
      <c r="H319" s="6">
        <v>176170</v>
      </c>
      <c r="I319" s="6">
        <f>+H319</f>
        <v>176170</v>
      </c>
    </row>
    <row r="320" spans="6:9" ht="12.75" customHeight="1" x14ac:dyDescent="0.25">
      <c r="F320" s="2" t="s">
        <v>110</v>
      </c>
      <c r="G320" s="2">
        <v>4</v>
      </c>
      <c r="H320" s="6">
        <f>+H317*4</f>
        <v>-61655</v>
      </c>
      <c r="I320" s="6">
        <f>+I319+H320</f>
        <v>114515</v>
      </c>
    </row>
    <row r="321" spans="6:9" ht="12.75" customHeight="1" x14ac:dyDescent="0.25">
      <c r="F321" s="2" t="s">
        <v>111</v>
      </c>
      <c r="G321" s="2">
        <f>+G320+4</f>
        <v>8</v>
      </c>
      <c r="H321" s="6">
        <f>+H320</f>
        <v>-61655</v>
      </c>
      <c r="I321" s="6">
        <f>+I320+H321</f>
        <v>52860</v>
      </c>
    </row>
    <row r="322" spans="6:9" ht="12.75" customHeight="1" x14ac:dyDescent="0.25">
      <c r="F322" s="2" t="s">
        <v>112</v>
      </c>
      <c r="G322" s="2">
        <f>+G321+4</f>
        <v>12</v>
      </c>
      <c r="H322" s="6">
        <f>+H321</f>
        <v>-61655</v>
      </c>
      <c r="I322" s="6">
        <f>+I321+H322</f>
        <v>-8795</v>
      </c>
    </row>
    <row r="323" spans="6:9" ht="12.75" customHeight="1" x14ac:dyDescent="0.25">
      <c r="F323" s="2" t="s">
        <v>113</v>
      </c>
      <c r="G323" s="2">
        <f>+G322+4</f>
        <v>16</v>
      </c>
      <c r="H323" s="6">
        <f>+H322</f>
        <v>-61655</v>
      </c>
    </row>
    <row r="325" spans="6:9" ht="12.75" customHeight="1" x14ac:dyDescent="0.25">
      <c r="H325" s="6">
        <f>SUM(H319:H323)</f>
        <v>-70450</v>
      </c>
    </row>
    <row r="327" spans="6:9" ht="12.75" customHeight="1" x14ac:dyDescent="0.25">
      <c r="F327" s="49"/>
      <c r="H327" s="6">
        <v>176170</v>
      </c>
      <c r="I327" s="6">
        <f>+H327</f>
        <v>176170</v>
      </c>
    </row>
    <row r="328" spans="6:9" ht="12.75" customHeight="1" x14ac:dyDescent="0.25">
      <c r="F328" s="2" t="s">
        <v>110</v>
      </c>
      <c r="G328" s="2">
        <v>4</v>
      </c>
      <c r="H328" s="6">
        <v>-45101.5</v>
      </c>
      <c r="I328" s="6">
        <f>+I327+H328</f>
        <v>131068.5</v>
      </c>
    </row>
    <row r="329" spans="6:9" ht="12.75" customHeight="1" x14ac:dyDescent="0.25">
      <c r="F329" s="2" t="s">
        <v>111</v>
      </c>
      <c r="G329" s="2">
        <f>+G328+4</f>
        <v>8</v>
      </c>
      <c r="H329" s="6">
        <v>-60828</v>
      </c>
      <c r="I329" s="6">
        <f>+I328+H329</f>
        <v>70240.5</v>
      </c>
    </row>
    <row r="330" spans="6:9" ht="12.75" customHeight="1" x14ac:dyDescent="0.25">
      <c r="F330" s="2" t="s">
        <v>112</v>
      </c>
      <c r="G330" s="2">
        <f>+G329+4</f>
        <v>12</v>
      </c>
      <c r="H330" s="6">
        <v>-60270.5</v>
      </c>
      <c r="I330" s="6">
        <f>+I329+H330</f>
        <v>9970</v>
      </c>
    </row>
    <row r="331" spans="6:9" ht="12.75" customHeight="1" x14ac:dyDescent="0.25">
      <c r="F331" s="2" t="s">
        <v>113</v>
      </c>
      <c r="G331" s="2">
        <f>+G330+4</f>
        <v>16</v>
      </c>
      <c r="H331" s="6">
        <v>-60000</v>
      </c>
      <c r="I331" s="6">
        <f>+I330+H331</f>
        <v>-50030</v>
      </c>
    </row>
    <row r="333" spans="6:9" ht="12.75" customHeight="1" x14ac:dyDescent="0.25">
      <c r="H333" s="6">
        <f>SUM(H327:H331)</f>
        <v>-50030</v>
      </c>
    </row>
  </sheetData>
  <sortState xmlns:xlrd2="http://schemas.microsoft.com/office/spreadsheetml/2017/richdata2" ref="A2:M274">
    <sortCondition ref="A2:A274"/>
    <sortCondition ref="F2:F27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6A38-AB36-48AC-8ED0-89C71354AD0B}">
  <sheetPr filterMode="1"/>
  <dimension ref="A1:D30"/>
  <sheetViews>
    <sheetView workbookViewId="0">
      <selection activeCell="A13" sqref="A13"/>
    </sheetView>
  </sheetViews>
  <sheetFormatPr defaultRowHeight="13.5" x14ac:dyDescent="0.25"/>
  <cols>
    <col min="1" max="1" width="76.28515625" style="9" bestFit="1" customWidth="1"/>
    <col min="2" max="2" width="15.85546875" style="9" bestFit="1" customWidth="1"/>
    <col min="3" max="3" width="13" style="9" customWidth="1"/>
    <col min="4" max="4" width="11" style="9" customWidth="1"/>
    <col min="5" max="16384" width="9.140625" style="9"/>
  </cols>
  <sheetData>
    <row r="1" spans="1:4" x14ac:dyDescent="0.25">
      <c r="A1" s="32" t="s">
        <v>37</v>
      </c>
      <c r="B1" s="33" t="s">
        <v>57</v>
      </c>
      <c r="C1" s="33" t="s">
        <v>58</v>
      </c>
      <c r="D1" s="33" t="s">
        <v>59</v>
      </c>
    </row>
    <row r="2" spans="1:4" hidden="1" x14ac:dyDescent="0.25">
      <c r="A2" s="9" t="s">
        <v>9</v>
      </c>
      <c r="B2" s="31" t="s">
        <v>60</v>
      </c>
      <c r="C2" s="31" t="s">
        <v>61</v>
      </c>
      <c r="D2" s="31" t="s">
        <v>62</v>
      </c>
    </row>
    <row r="3" spans="1:4" hidden="1" x14ac:dyDescent="0.25">
      <c r="A3" s="9" t="s">
        <v>52</v>
      </c>
      <c r="B3" s="31" t="s">
        <v>63</v>
      </c>
      <c r="C3" s="31" t="s">
        <v>64</v>
      </c>
      <c r="D3" s="31" t="s">
        <v>62</v>
      </c>
    </row>
    <row r="4" spans="1:4" hidden="1" x14ac:dyDescent="0.25">
      <c r="A4" s="9" t="s">
        <v>16</v>
      </c>
      <c r="B4" s="31" t="s">
        <v>65</v>
      </c>
      <c r="C4" s="31" t="s">
        <v>61</v>
      </c>
      <c r="D4" s="31" t="s">
        <v>66</v>
      </c>
    </row>
    <row r="5" spans="1:4" hidden="1" x14ac:dyDescent="0.25">
      <c r="A5" s="9" t="s">
        <v>1</v>
      </c>
      <c r="B5" s="31" t="s">
        <v>67</v>
      </c>
      <c r="C5" s="31" t="s">
        <v>61</v>
      </c>
      <c r="D5" s="31" t="s">
        <v>68</v>
      </c>
    </row>
    <row r="6" spans="1:4" hidden="1" x14ac:dyDescent="0.25">
      <c r="A6" s="9" t="s">
        <v>2</v>
      </c>
      <c r="B6" s="31" t="s">
        <v>67</v>
      </c>
      <c r="C6" s="31" t="s">
        <v>61</v>
      </c>
      <c r="D6" s="31" t="s">
        <v>68</v>
      </c>
    </row>
    <row r="7" spans="1:4" hidden="1" x14ac:dyDescent="0.25">
      <c r="A7" s="9" t="s">
        <v>11</v>
      </c>
      <c r="B7" s="31" t="s">
        <v>69</v>
      </c>
      <c r="C7" s="31" t="s">
        <v>61</v>
      </c>
      <c r="D7" s="31" t="s">
        <v>66</v>
      </c>
    </row>
    <row r="8" spans="1:4" x14ac:dyDescent="0.25">
      <c r="A8" s="9" t="s">
        <v>45</v>
      </c>
      <c r="B8" s="31" t="s">
        <v>69</v>
      </c>
      <c r="C8" s="31" t="s">
        <v>64</v>
      </c>
      <c r="D8" s="31" t="s">
        <v>66</v>
      </c>
    </row>
    <row r="9" spans="1:4" x14ac:dyDescent="0.25">
      <c r="A9" s="9" t="s">
        <v>46</v>
      </c>
      <c r="B9" s="31" t="s">
        <v>69</v>
      </c>
      <c r="C9" s="31" t="s">
        <v>64</v>
      </c>
      <c r="D9" s="31" t="s">
        <v>66</v>
      </c>
    </row>
    <row r="10" spans="1:4" hidden="1" x14ac:dyDescent="0.25">
      <c r="A10" s="9" t="s">
        <v>13</v>
      </c>
      <c r="B10" s="31" t="s">
        <v>69</v>
      </c>
      <c r="C10" s="31" t="s">
        <v>61</v>
      </c>
      <c r="D10" s="31" t="s">
        <v>66</v>
      </c>
    </row>
    <row r="11" spans="1:4" hidden="1" x14ac:dyDescent="0.25">
      <c r="A11" s="9" t="s">
        <v>70</v>
      </c>
      <c r="B11" s="31" t="s">
        <v>71</v>
      </c>
      <c r="C11" s="31" t="s">
        <v>64</v>
      </c>
      <c r="D11" s="31" t="s">
        <v>68</v>
      </c>
    </row>
    <row r="12" spans="1:4" hidden="1" x14ac:dyDescent="0.25">
      <c r="A12" s="9" t="s">
        <v>72</v>
      </c>
      <c r="B12" s="31" t="s">
        <v>71</v>
      </c>
      <c r="C12" s="31" t="s">
        <v>64</v>
      </c>
      <c r="D12" s="31" t="s">
        <v>68</v>
      </c>
    </row>
    <row r="13" spans="1:4" hidden="1" x14ac:dyDescent="0.25">
      <c r="A13" s="9" t="s">
        <v>73</v>
      </c>
      <c r="B13" s="31" t="s">
        <v>71</v>
      </c>
      <c r="C13" s="31" t="s">
        <v>64</v>
      </c>
      <c r="D13" s="31" t="s">
        <v>68</v>
      </c>
    </row>
    <row r="14" spans="1:4" hidden="1" x14ac:dyDescent="0.25">
      <c r="A14" s="9" t="s">
        <v>15</v>
      </c>
      <c r="B14" s="31" t="s">
        <v>74</v>
      </c>
      <c r="C14" s="31" t="s">
        <v>61</v>
      </c>
      <c r="D14" s="31" t="s">
        <v>62</v>
      </c>
    </row>
    <row r="15" spans="1:4" hidden="1" x14ac:dyDescent="0.25">
      <c r="A15" s="9" t="s">
        <v>14</v>
      </c>
      <c r="B15" s="31" t="s">
        <v>74</v>
      </c>
      <c r="C15" s="31" t="s">
        <v>61</v>
      </c>
      <c r="D15" s="31" t="s">
        <v>62</v>
      </c>
    </row>
    <row r="16" spans="1:4" hidden="1" x14ac:dyDescent="0.25">
      <c r="A16" s="9" t="s">
        <v>3</v>
      </c>
      <c r="B16" s="31" t="s">
        <v>75</v>
      </c>
      <c r="C16" s="31" t="s">
        <v>61</v>
      </c>
      <c r="D16" s="31" t="s">
        <v>68</v>
      </c>
    </row>
    <row r="17" spans="1:4" hidden="1" x14ac:dyDescent="0.25">
      <c r="A17" s="9" t="s">
        <v>4</v>
      </c>
      <c r="B17" s="31" t="s">
        <v>76</v>
      </c>
      <c r="C17" s="31" t="s">
        <v>61</v>
      </c>
      <c r="D17" s="31" t="s">
        <v>68</v>
      </c>
    </row>
    <row r="18" spans="1:4" hidden="1" x14ac:dyDescent="0.25">
      <c r="A18" s="9" t="s">
        <v>10</v>
      </c>
      <c r="B18" s="31" t="s">
        <v>77</v>
      </c>
      <c r="C18" s="31" t="s">
        <v>61</v>
      </c>
      <c r="D18" s="31" t="s">
        <v>62</v>
      </c>
    </row>
    <row r="19" spans="1:4" hidden="1" x14ac:dyDescent="0.25">
      <c r="A19" s="9" t="s">
        <v>33</v>
      </c>
      <c r="B19" s="31" t="s">
        <v>77</v>
      </c>
      <c r="C19" s="31" t="s">
        <v>61</v>
      </c>
      <c r="D19" s="31" t="s">
        <v>62</v>
      </c>
    </row>
    <row r="20" spans="1:4" hidden="1" x14ac:dyDescent="0.25">
      <c r="A20" s="9" t="s">
        <v>5</v>
      </c>
      <c r="B20" s="31" t="s">
        <v>78</v>
      </c>
      <c r="C20" s="31" t="s">
        <v>61</v>
      </c>
      <c r="D20" s="31" t="s">
        <v>62</v>
      </c>
    </row>
    <row r="21" spans="1:4" hidden="1" x14ac:dyDescent="0.25">
      <c r="A21" s="9" t="s">
        <v>34</v>
      </c>
      <c r="B21" s="31" t="s">
        <v>78</v>
      </c>
      <c r="C21" s="31" t="s">
        <v>64</v>
      </c>
      <c r="D21" s="31" t="s">
        <v>62</v>
      </c>
    </row>
    <row r="22" spans="1:4" hidden="1" x14ac:dyDescent="0.25">
      <c r="A22" s="9" t="s">
        <v>6</v>
      </c>
      <c r="B22" s="31" t="s">
        <v>79</v>
      </c>
      <c r="C22" s="31" t="s">
        <v>61</v>
      </c>
      <c r="D22" s="31" t="s">
        <v>68</v>
      </c>
    </row>
    <row r="23" spans="1:4" hidden="1" x14ac:dyDescent="0.25">
      <c r="A23" s="9" t="s">
        <v>12</v>
      </c>
      <c r="B23" s="31" t="s">
        <v>80</v>
      </c>
      <c r="C23" s="31" t="s">
        <v>61</v>
      </c>
      <c r="D23" s="31" t="s">
        <v>62</v>
      </c>
    </row>
    <row r="24" spans="1:4" hidden="1" x14ac:dyDescent="0.25">
      <c r="A24" s="9" t="s">
        <v>7</v>
      </c>
      <c r="B24" s="31" t="s">
        <v>81</v>
      </c>
      <c r="C24" s="31" t="s">
        <v>61</v>
      </c>
      <c r="D24" s="31" t="s">
        <v>66</v>
      </c>
    </row>
    <row r="25" spans="1:4" hidden="1" x14ac:dyDescent="0.25">
      <c r="A25" s="9" t="s">
        <v>35</v>
      </c>
      <c r="B25" s="31" t="s">
        <v>82</v>
      </c>
      <c r="C25" s="31" t="s">
        <v>61</v>
      </c>
      <c r="D25" s="31" t="s">
        <v>62</v>
      </c>
    </row>
    <row r="26" spans="1:4" hidden="1" x14ac:dyDescent="0.25">
      <c r="A26" s="9" t="s">
        <v>36</v>
      </c>
      <c r="B26" s="31" t="s">
        <v>82</v>
      </c>
      <c r="C26" s="31" t="s">
        <v>64</v>
      </c>
      <c r="D26" s="31" t="s">
        <v>62</v>
      </c>
    </row>
    <row r="27" spans="1:4" x14ac:dyDescent="0.25">
      <c r="A27" s="9" t="s">
        <v>50</v>
      </c>
      <c r="B27" s="31" t="s">
        <v>83</v>
      </c>
      <c r="C27" s="31" t="s">
        <v>64</v>
      </c>
      <c r="D27" s="31" t="s">
        <v>66</v>
      </c>
    </row>
    <row r="28" spans="1:4" x14ac:dyDescent="0.25">
      <c r="A28" s="9" t="s">
        <v>51</v>
      </c>
      <c r="B28" s="31" t="s">
        <v>83</v>
      </c>
      <c r="C28" s="31" t="s">
        <v>64</v>
      </c>
      <c r="D28" s="31" t="s">
        <v>66</v>
      </c>
    </row>
    <row r="29" spans="1:4" hidden="1" x14ac:dyDescent="0.25">
      <c r="A29" s="9" t="s">
        <v>84</v>
      </c>
      <c r="B29" s="31" t="s">
        <v>85</v>
      </c>
      <c r="C29" s="31" t="s">
        <v>61</v>
      </c>
      <c r="D29" s="31" t="s">
        <v>66</v>
      </c>
    </row>
    <row r="30" spans="1:4" hidden="1" x14ac:dyDescent="0.25">
      <c r="A30" s="9" t="s">
        <v>86</v>
      </c>
      <c r="B30" s="31" t="s">
        <v>85</v>
      </c>
      <c r="C30" s="31" t="s">
        <v>61</v>
      </c>
      <c r="D30" s="31" t="s">
        <v>66</v>
      </c>
    </row>
  </sheetData>
  <autoFilter ref="A1:D30" xr:uid="{245C6A38-AB36-48AC-8ED0-89C71354AD0B}">
    <filterColumn colId="2">
      <filters>
        <filter val="AppIQ"/>
      </filters>
    </filterColumn>
    <filterColumn colId="3">
      <filters>
        <filter val="ENT"/>
      </filters>
    </filterColumn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1A22-04B1-4C80-A2FE-3787AC4A8187}">
  <dimension ref="B2:C2"/>
  <sheetViews>
    <sheetView workbookViewId="0">
      <selection activeCell="C3" sqref="C3"/>
    </sheetView>
  </sheetViews>
  <sheetFormatPr defaultRowHeight="13.5" x14ac:dyDescent="0.25"/>
  <cols>
    <col min="1" max="16384" width="9.140625" style="9"/>
  </cols>
  <sheetData>
    <row r="2" spans="2:3" x14ac:dyDescent="0.25">
      <c r="B2" s="9" t="s">
        <v>87</v>
      </c>
      <c r="C2" s="4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Comparison Q</vt:lpstr>
      <vt:lpstr>Comparison</vt:lpstr>
      <vt:lpstr>Cash In by Project</vt:lpstr>
      <vt:lpstr>Cash In By Type</vt:lpstr>
      <vt:lpstr>Cash Flow Report</vt:lpstr>
      <vt:lpstr>DSCO</vt:lpstr>
      <vt:lpstr>Uncollected</vt:lpstr>
      <vt:lpstr>Invoice &amp; Payments</vt:lpstr>
      <vt:lpstr>Mapping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Mark Norris</cp:lastModifiedBy>
  <dcterms:created xsi:type="dcterms:W3CDTF">2025-06-08T19:37:36Z</dcterms:created>
  <dcterms:modified xsi:type="dcterms:W3CDTF">2026-01-08T21:49:48Z</dcterms:modified>
</cp:coreProperties>
</file>