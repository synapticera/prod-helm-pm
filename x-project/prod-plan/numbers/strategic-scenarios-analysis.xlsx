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1_Lean" sheetId="1" state="visible" r:id="rId1"/>
    <sheet xmlns:r="http://schemas.openxmlformats.org/officeDocument/2006/relationships" name="Path2_Liquidate" sheetId="2" state="visible" r:id="rId2"/>
    <sheet xmlns:r="http://schemas.openxmlformats.org/officeDocument/2006/relationships" name="Path3_GrowthBoth" sheetId="3" state="visible" r:id="rId3"/>
    <sheet xmlns:r="http://schemas.openxmlformats.org/officeDocument/2006/relationships" name="Path4_Strategic" sheetId="4" state="visible" r:id="rId4"/>
    <sheet xmlns:r="http://schemas.openxmlformats.org/officeDocument/2006/relationships" name="Summary_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color rgb="000000FF"/>
    </font>
    <font>
      <b val="1"/>
    </font>
    <font>
      <b val="1"/>
      <color rgb="002E7D32"/>
      <sz val="16"/>
    </font>
  </fonts>
  <fills count="6">
    <fill>
      <patternFill/>
    </fill>
    <fill>
      <patternFill patternType="gray125"/>
    </fill>
    <fill>
      <patternFill patternType="solid">
        <fgColor rgb="00F4F6F6"/>
      </patternFill>
    </fill>
    <fill>
      <patternFill patternType="solid">
        <fgColor rgb="0001A9DB"/>
      </patternFill>
    </fill>
    <fill>
      <patternFill patternType="solid">
        <fgColor rgb="0007253D"/>
      </patternFill>
    </fill>
    <fill>
      <patternFill patternType="solid">
        <f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3" fillId="0" borderId="0" pivotButton="0" quotePrefix="0" xfId="0"/>
    <xf numFmtId="0" fontId="4" fillId="2" borderId="0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3" borderId="0" pivotButton="0" quotePrefix="0" xfId="0"/>
    <xf numFmtId="4" fontId="4" fillId="0" borderId="0" pivotButton="0" quotePrefix="0" xfId="0"/>
    <xf numFmtId="0" fontId="5" fillId="0" borderId="0" pivotButton="0" quotePrefix="0" xfId="0"/>
    <xf numFmtId="0" fontId="1" fillId="4" borderId="0" pivotButton="0" quotePrefix="0" xfId="0"/>
    <xf numFmtId="164" fontId="0" fillId="0" borderId="0" pivotButton="0" quotePrefix="0" xfId="0"/>
    <xf numFmtId="0" fontId="0" fillId="5" borderId="0" pivotButton="0" quotePrefix="0" xfId="0"/>
    <xf numFmtId="164" fontId="0" fillId="5" borderId="0" pivotButton="0" quotePrefix="0" xfId="0"/>
    <xf numFmtId="9" fontId="3" fillId="5" borderId="0" pivotButton="0" quotePrefix="0" xfId="0"/>
    <xf numFmtId="9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4"/>
  <sheetViews>
    <sheetView workbookViewId="0">
      <selection activeCell="A1" sqref="A1"/>
    </sheetView>
  </sheetViews>
  <sheetFormatPr baseColWidth="8" defaultRowHeight="15"/>
  <cols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Path 1: LEAN - Minimal Investment, Self-Funded</t>
        </is>
      </c>
    </row>
    <row r="4">
      <c r="B4" s="2" t="inlineStr">
        <is>
          <t>ASSUMPTIONS</t>
        </is>
      </c>
    </row>
    <row r="5">
      <c r="B5" t="inlineStr">
        <is>
          <t>Services starting revenue ($M)</t>
        </is>
      </c>
      <c r="C5" s="3" t="n">
        <v>4</v>
      </c>
    </row>
    <row r="6">
      <c r="B6" t="inlineStr">
        <is>
          <t>Services annual decline</t>
        </is>
      </c>
      <c r="C6" s="4" t="n">
        <v>-0.05</v>
      </c>
    </row>
    <row r="7">
      <c r="B7" t="inlineStr">
        <is>
          <t>Services EBITDA margin</t>
        </is>
      </c>
      <c r="C7" s="4" t="n">
        <v>0.12</v>
      </c>
    </row>
    <row r="8">
      <c r="B8" t="inlineStr">
        <is>
          <t>Product investment/year ($M)</t>
        </is>
      </c>
      <c r="C8" s="3" t="n">
        <v>0.35</v>
      </c>
    </row>
    <row r="9">
      <c r="B9" t="inlineStr">
        <is>
          <t>Services EV multiple</t>
        </is>
      </c>
      <c r="C9" s="3" t="n">
        <v>2.5</v>
      </c>
    </row>
    <row r="10">
      <c r="B10" t="inlineStr">
        <is>
          <t>Product EV multiple (if successful)</t>
        </is>
      </c>
      <c r="C10" s="3" t="n">
        <v>10</v>
      </c>
    </row>
    <row r="12">
      <c r="B12" s="2" t="inlineStr">
        <is>
          <t>GROWTH PLAN</t>
        </is>
      </c>
    </row>
    <row r="13">
      <c r="C13" s="5" t="n">
        <v>2025</v>
      </c>
      <c r="D13" s="5" t="n">
        <v>2026</v>
      </c>
      <c r="E13" s="5" t="n">
        <v>2027</v>
      </c>
      <c r="F13" s="5" t="n">
        <v>2028</v>
      </c>
      <c r="G13" s="5" t="n">
        <v>2029</v>
      </c>
    </row>
    <row r="14">
      <c r="B14" t="inlineStr">
        <is>
          <t>Services Revenue ($M)</t>
        </is>
      </c>
      <c r="C14" s="6">
        <f>C5</f>
        <v/>
      </c>
      <c r="D14" s="6">
        <f>C14*(1+$C$6)</f>
        <v/>
      </c>
      <c r="E14" s="6">
        <f>D14*(1+$C$6)</f>
        <v/>
      </c>
      <c r="F14" s="6">
        <f>E14*(1+$C$6)</f>
        <v/>
      </c>
      <c r="G14" s="6">
        <f>F14*(1+$C$6)</f>
        <v/>
      </c>
    </row>
    <row r="15">
      <c r="B15" t="inlineStr">
        <is>
          <t>Services EBITDA ($M)</t>
        </is>
      </c>
      <c r="C15" s="6">
        <f>C14*$C$7</f>
        <v/>
      </c>
      <c r="D15" s="6">
        <f>D14*$C$7</f>
        <v/>
      </c>
      <c r="E15" s="6">
        <f>E14*$C$7</f>
        <v/>
      </c>
      <c r="F15" s="6">
        <f>F14*$C$7</f>
        <v/>
      </c>
      <c r="G15" s="6">
        <f>G14*$C$7</f>
        <v/>
      </c>
    </row>
    <row r="16">
      <c r="B16" t="inlineStr">
        <is>
          <t>Product Investment ($M)</t>
        </is>
      </c>
      <c r="C16" s="6">
        <f>-$C$8</f>
        <v/>
      </c>
      <c r="D16" s="6">
        <f>-$C$8</f>
        <v/>
      </c>
      <c r="E16" s="6">
        <f>-$C$8</f>
        <v/>
      </c>
      <c r="F16" s="6">
        <f>-$C$8</f>
        <v/>
      </c>
      <c r="G16" s="6">
        <f>-$C$8</f>
        <v/>
      </c>
    </row>
    <row r="17">
      <c r="B17" t="inlineStr">
        <is>
          <t>Net Cash Flow ($M)</t>
        </is>
      </c>
      <c r="C17" s="6">
        <f>C15+C16</f>
        <v/>
      </c>
      <c r="D17" s="6">
        <f>D15+D16</f>
        <v/>
      </c>
      <c r="E17" s="6">
        <f>E15+E16</f>
        <v/>
      </c>
      <c r="F17" s="6">
        <f>F15+F16</f>
        <v/>
      </c>
      <c r="G17" s="6">
        <f>G15+G16</f>
        <v/>
      </c>
    </row>
    <row r="18">
      <c r="C18" s="6" t="n"/>
      <c r="D18" s="6" t="n"/>
      <c r="E18" s="6" t="n"/>
      <c r="F18" s="6" t="n"/>
      <c r="G18" s="6" t="n"/>
    </row>
    <row r="19">
      <c r="B19" t="inlineStr">
        <is>
          <t>Product Revenue ($M)</t>
        </is>
      </c>
      <c r="C19" s="6" t="n">
        <v>0.05</v>
      </c>
      <c r="D19" s="6" t="n">
        <v>0.15</v>
      </c>
      <c r="E19" s="6" t="n">
        <v>0.4</v>
      </c>
      <c r="F19" s="6" t="n">
        <v>0.8</v>
      </c>
      <c r="G19" s="6" t="n">
        <v>1.5</v>
      </c>
    </row>
    <row r="20">
      <c r="C20" s="6" t="n"/>
      <c r="D20" s="6" t="n"/>
      <c r="E20" s="6" t="n"/>
      <c r="F20" s="6" t="n"/>
      <c r="G20" s="6" t="n"/>
    </row>
    <row r="21">
      <c r="B21" s="2" t="inlineStr">
        <is>
          <t>EV CALCULATION</t>
        </is>
      </c>
      <c r="C21" s="6" t="n"/>
      <c r="D21" s="6" t="n"/>
      <c r="E21" s="6" t="n"/>
      <c r="F21" s="6" t="n"/>
      <c r="G21" s="6" t="n"/>
    </row>
    <row r="22">
      <c r="B22" t="inlineStr">
        <is>
          <t>Services EV ($M)</t>
        </is>
      </c>
      <c r="C22" s="6">
        <f>C14*$C$9</f>
        <v/>
      </c>
      <c r="D22" s="6">
        <f>D14*$C$9</f>
        <v/>
      </c>
      <c r="E22" s="6">
        <f>E14*$C$9</f>
        <v/>
      </c>
      <c r="F22" s="6">
        <f>F14*$C$9</f>
        <v/>
      </c>
      <c r="G22" s="6">
        <f>G14*$C$9</f>
        <v/>
      </c>
    </row>
    <row r="23">
      <c r="B23" t="inlineStr">
        <is>
          <t>Product EV ($M)</t>
        </is>
      </c>
      <c r="C23" s="6">
        <f>C19*$C$10</f>
        <v/>
      </c>
      <c r="D23" s="6">
        <f>D19*$C$10</f>
        <v/>
      </c>
      <c r="E23" s="6">
        <f>E19*$C$10</f>
        <v/>
      </c>
      <c r="F23" s="6">
        <f>F19*$C$10</f>
        <v/>
      </c>
      <c r="G23" s="6">
        <f>G19*$C$10</f>
        <v/>
      </c>
    </row>
    <row r="24">
      <c r="B24" s="7" t="inlineStr">
        <is>
          <t>Total EV ($M)</t>
        </is>
      </c>
      <c r="C24" s="8">
        <f>C22+C23</f>
        <v/>
      </c>
      <c r="D24" s="8">
        <f>D22+D23</f>
        <v/>
      </c>
      <c r="E24" s="8">
        <f>E22+E23</f>
        <v/>
      </c>
      <c r="F24" s="8">
        <f>F22+F23</f>
        <v/>
      </c>
      <c r="G24" s="8">
        <f>G22+G23</f>
        <v/>
      </c>
    </row>
  </sheetData>
  <mergeCells count="1"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4"/>
  <sheetViews>
    <sheetView workbookViewId="0">
      <selection activeCell="A1" sqref="A1"/>
    </sheetView>
  </sheetViews>
  <sheetFormatPr baseColWidth="8" defaultRowHeight="15"/>
  <cols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Path 2: LIQUIDATE - Sell Services, All-In on Product</t>
        </is>
      </c>
    </row>
    <row r="4">
      <c r="B4" s="2" t="inlineStr">
        <is>
          <t>ASSUMPTIONS</t>
        </is>
      </c>
    </row>
    <row r="5">
      <c r="B5" t="inlineStr">
        <is>
          <t>Services sale price ($M)</t>
        </is>
      </c>
      <c r="C5" s="3" t="n">
        <v>10</v>
      </c>
    </row>
    <row r="6">
      <c r="B6" t="inlineStr">
        <is>
          <t>Net after tax/earnout ($M)</t>
        </is>
      </c>
      <c r="C6" s="3" t="n">
        <v>7</v>
      </c>
    </row>
    <row r="7">
      <c r="B7" t="inlineStr">
        <is>
          <t>Product burn rate/year ($M)</t>
        </is>
      </c>
      <c r="C7" s="3" t="n">
        <v>2.5</v>
      </c>
    </row>
    <row r="8">
      <c r="B8" t="inlineStr">
        <is>
          <t>Product EV multiple</t>
        </is>
      </c>
      <c r="C8" s="3" t="n">
        <v>10</v>
      </c>
    </row>
    <row r="9">
      <c r="B9" t="inlineStr">
        <is>
          <t>Sale completed (year)</t>
        </is>
      </c>
      <c r="C9" s="3" t="n">
        <v>2025</v>
      </c>
    </row>
    <row r="11">
      <c r="B11" s="2" t="inlineStr">
        <is>
          <t>CASH POSITION</t>
        </is>
      </c>
    </row>
    <row r="12">
      <c r="C12" s="5" t="n">
        <v>2025</v>
      </c>
      <c r="D12" s="5" t="n">
        <v>2026</v>
      </c>
      <c r="E12" s="5" t="n">
        <v>2027</v>
      </c>
      <c r="F12" s="5" t="n">
        <v>2028</v>
      </c>
      <c r="G12" s="5" t="n">
        <v>2029</v>
      </c>
    </row>
    <row r="13">
      <c r="B13" t="inlineStr">
        <is>
          <t>Starting Cash ($M)</t>
        </is>
      </c>
      <c r="C13" s="6">
        <f>$C$6</f>
        <v/>
      </c>
      <c r="D13" s="6">
        <f>C15</f>
        <v/>
      </c>
      <c r="E13" s="6">
        <f>D15</f>
        <v/>
      </c>
      <c r="F13" s="6">
        <f>E15</f>
        <v/>
      </c>
      <c r="G13" s="6">
        <f>F15</f>
        <v/>
      </c>
    </row>
    <row r="14">
      <c r="B14" t="inlineStr">
        <is>
          <t>Product Burn ($M)</t>
        </is>
      </c>
      <c r="C14" s="6">
        <f>-$C$7</f>
        <v/>
      </c>
      <c r="D14" s="6">
        <f>-$C$7</f>
        <v/>
      </c>
      <c r="E14" s="6">
        <f>-$C$7</f>
        <v/>
      </c>
      <c r="F14" s="6">
        <f>-$C$7</f>
        <v/>
      </c>
      <c r="G14" s="6">
        <f>-$C$7</f>
        <v/>
      </c>
    </row>
    <row r="15">
      <c r="B15" t="inlineStr">
        <is>
          <t>Ending Cash ($M)</t>
        </is>
      </c>
      <c r="C15" s="6">
        <f>C13+C14</f>
        <v/>
      </c>
      <c r="D15" s="6">
        <f>D13+D14</f>
        <v/>
      </c>
      <c r="E15" s="6">
        <f>E13+E14</f>
        <v/>
      </c>
      <c r="F15" s="6">
        <f>F13+F14</f>
        <v/>
      </c>
      <c r="G15" s="6">
        <f>G13+G14</f>
        <v/>
      </c>
    </row>
    <row r="16">
      <c r="C16" s="6" t="n"/>
      <c r="D16" s="6" t="n"/>
      <c r="E16" s="6" t="n"/>
      <c r="F16" s="6" t="n"/>
      <c r="G16" s="6" t="n"/>
    </row>
    <row r="17">
      <c r="B17" s="2" t="inlineStr">
        <is>
          <t>PRODUCT GROWTH</t>
        </is>
      </c>
      <c r="C17" s="6" t="n"/>
      <c r="D17" s="6" t="n"/>
      <c r="E17" s="6" t="n"/>
      <c r="F17" s="6" t="n"/>
      <c r="G17" s="6" t="n"/>
    </row>
    <row r="18">
      <c r="B18" t="inlineStr">
        <is>
          <t>Product Revenue ($M)</t>
        </is>
      </c>
      <c r="C18" s="6" t="n">
        <v>0.2</v>
      </c>
      <c r="D18" s="6" t="n">
        <v>1</v>
      </c>
      <c r="E18" s="6" t="n">
        <v>5</v>
      </c>
      <c r="F18" s="6" t="n">
        <v>15</v>
      </c>
      <c r="G18" s="6" t="n">
        <v>40</v>
      </c>
    </row>
    <row r="19">
      <c r="B19" t="inlineStr">
        <is>
          <t>YoY Growth</t>
        </is>
      </c>
      <c r="C19" t="inlineStr">
        <is>
          <t>N/A</t>
        </is>
      </c>
      <c r="D19" s="6">
        <f>(D18-C18)/C18</f>
        <v/>
      </c>
      <c r="E19" s="6">
        <f>(E18-D18)/D18</f>
        <v/>
      </c>
      <c r="F19" s="6">
        <f>(F18-E18)/E18</f>
        <v/>
      </c>
      <c r="G19" s="6">
        <f>(G18-F18)/F18</f>
        <v/>
      </c>
    </row>
    <row r="20">
      <c r="C20" s="6" t="n"/>
      <c r="D20" s="6" t="n"/>
      <c r="E20" s="6" t="n"/>
      <c r="F20" s="6" t="n"/>
      <c r="G20" s="6" t="n"/>
    </row>
    <row r="21">
      <c r="B21" s="2" t="inlineStr">
        <is>
          <t>EV CALCULATION</t>
        </is>
      </c>
      <c r="C21" s="6" t="n"/>
      <c r="D21" s="6" t="n"/>
      <c r="E21" s="6" t="n"/>
      <c r="F21" s="6" t="n"/>
      <c r="G21" s="6" t="n"/>
    </row>
    <row r="22">
      <c r="B22" t="inlineStr">
        <is>
          <t>Product EV ($M)</t>
        </is>
      </c>
      <c r="C22" s="8">
        <f>C18*$C$8</f>
        <v/>
      </c>
      <c r="D22" s="8">
        <f>D18*$C$8</f>
        <v/>
      </c>
      <c r="E22" s="8">
        <f>E18*$C$8</f>
        <v/>
      </c>
      <c r="F22" s="8">
        <f>F18*$C$8</f>
        <v/>
      </c>
      <c r="G22" s="8">
        <f>G18*$C$8</f>
        <v/>
      </c>
    </row>
    <row r="23">
      <c r="B23" t="inlineStr">
        <is>
          <t>Cash Position ($M)</t>
        </is>
      </c>
      <c r="C23" s="6">
        <f>C15</f>
        <v/>
      </c>
      <c r="D23" s="6">
        <f>D15</f>
        <v/>
      </c>
      <c r="E23" s="6">
        <f>E15</f>
        <v/>
      </c>
      <c r="F23" s="6">
        <f>F15</f>
        <v/>
      </c>
      <c r="G23" s="6">
        <f>G15</f>
        <v/>
      </c>
    </row>
    <row r="24">
      <c r="B24" s="7" t="inlineStr">
        <is>
          <t>Total EV ($M)</t>
        </is>
      </c>
      <c r="C24" s="9">
        <f>C22+MAX(0,C23)</f>
        <v/>
      </c>
      <c r="D24" s="9">
        <f>D22+MAX(0,D23)</f>
        <v/>
      </c>
      <c r="E24" s="9">
        <f>E22+MAX(0,E23)</f>
        <v/>
      </c>
      <c r="F24" s="9">
        <f>F22+MAX(0,F23)</f>
        <v/>
      </c>
      <c r="G24" s="9">
        <f>G22+MAX(0,G23)</f>
        <v/>
      </c>
    </row>
  </sheetData>
  <mergeCells count="1"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20"/>
  <sheetViews>
    <sheetView workbookViewId="0">
      <selection activeCell="A1" sqref="A1"/>
    </sheetView>
  </sheetViews>
  <sheetFormatPr baseColWidth="8" defaultRowHeight="15"/>
  <cols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Path 3: GROWTH BOTH - Dual Business Strategy</t>
        </is>
      </c>
    </row>
    <row r="4">
      <c r="B4" s="2" t="inlineStr">
        <is>
          <t>ASSUMPTIONS</t>
        </is>
      </c>
    </row>
    <row r="5">
      <c r="B5" t="inlineStr">
        <is>
          <t>Services starting revenue ($M)</t>
        </is>
      </c>
      <c r="C5" s="3" t="n">
        <v>4</v>
      </c>
    </row>
    <row r="6">
      <c r="B6" t="inlineStr">
        <is>
          <t>Services annual growth</t>
        </is>
      </c>
      <c r="C6" s="4" t="n">
        <v>0.3</v>
      </c>
    </row>
    <row r="7">
      <c r="B7" t="inlineStr">
        <is>
          <t>Services EV multiple</t>
        </is>
      </c>
      <c r="C7" s="3" t="n">
        <v>3</v>
      </c>
    </row>
    <row r="8">
      <c r="B8" t="inlineStr">
        <is>
          <t>Product EV multiple</t>
        </is>
      </c>
      <c r="C8" s="3" t="n">
        <v>10</v>
      </c>
    </row>
    <row r="9">
      <c r="B9" t="inlineStr">
        <is>
          <t>VC funding (Year 1, $M)</t>
        </is>
      </c>
      <c r="C9" s="3" t="n">
        <v>3</v>
      </c>
    </row>
    <row r="11">
      <c r="B11" s="2" t="inlineStr">
        <is>
          <t>GROWTH PLAN</t>
        </is>
      </c>
    </row>
    <row r="12">
      <c r="C12" s="5" t="n">
        <v>2025</v>
      </c>
      <c r="D12" s="5" t="n">
        <v>2026</v>
      </c>
      <c r="E12" s="5" t="n">
        <v>2027</v>
      </c>
      <c r="F12" s="5" t="n">
        <v>2028</v>
      </c>
      <c r="G12" s="5" t="n">
        <v>2029</v>
      </c>
    </row>
    <row r="13">
      <c r="B13" t="inlineStr">
        <is>
          <t>Services Revenue ($M)</t>
        </is>
      </c>
      <c r="C13" s="6" t="n">
        <v>4.275</v>
      </c>
      <c r="D13" s="6" t="n">
        <v>5.56</v>
      </c>
      <c r="E13" s="6" t="n">
        <v>7.22</v>
      </c>
      <c r="F13" s="6" t="n">
        <v>9.390000000000001</v>
      </c>
      <c r="G13" s="6" t="n">
        <v>11.74</v>
      </c>
    </row>
    <row r="14">
      <c r="B14" t="inlineStr">
        <is>
          <t>Product Revenue ($M)</t>
        </is>
      </c>
      <c r="C14" s="6" t="n">
        <v>0</v>
      </c>
      <c r="D14" s="6" t="n">
        <v>1</v>
      </c>
      <c r="E14" s="6" t="n">
        <v>5</v>
      </c>
      <c r="F14" s="6" t="n">
        <v>25</v>
      </c>
      <c r="G14" s="6" t="n">
        <v>100</v>
      </c>
    </row>
    <row r="15">
      <c r="B15" t="inlineStr">
        <is>
          <t>Total Revenue ($M)</t>
        </is>
      </c>
      <c r="C15" s="6">
        <f>C13+C14</f>
        <v/>
      </c>
      <c r="D15" s="6">
        <f>D13+D14</f>
        <v/>
      </c>
      <c r="E15" s="6">
        <f>E13+E14</f>
        <v/>
      </c>
      <c r="F15" s="6">
        <f>F13+F14</f>
        <v/>
      </c>
      <c r="G15" s="6">
        <f>G13+G14</f>
        <v/>
      </c>
    </row>
    <row r="16">
      <c r="C16" s="6" t="n"/>
      <c r="D16" s="6" t="n"/>
      <c r="E16" s="6" t="n"/>
      <c r="F16" s="6" t="n"/>
      <c r="G16" s="6" t="n"/>
    </row>
    <row r="17">
      <c r="B17" s="2" t="inlineStr">
        <is>
          <t>EV CALCULATION</t>
        </is>
      </c>
      <c r="C17" s="6" t="n"/>
      <c r="D17" s="6" t="n"/>
      <c r="E17" s="6" t="n"/>
      <c r="F17" s="6" t="n"/>
      <c r="G17" s="6" t="n"/>
    </row>
    <row r="18">
      <c r="B18" t="inlineStr">
        <is>
          <t>Services EV ($M)</t>
        </is>
      </c>
      <c r="C18" s="6">
        <f>C13*$C$7</f>
        <v/>
      </c>
      <c r="D18" s="6">
        <f>D13*$C$7</f>
        <v/>
      </c>
      <c r="E18" s="6">
        <f>E13*$C$7</f>
        <v/>
      </c>
      <c r="F18" s="6">
        <f>F13*$C$7</f>
        <v/>
      </c>
      <c r="G18" s="6">
        <f>G13*$C$7</f>
        <v/>
      </c>
    </row>
    <row r="19">
      <c r="B19" t="inlineStr">
        <is>
          <t>Product EV ($M)</t>
        </is>
      </c>
      <c r="C19" s="6">
        <f>C14*$C$8</f>
        <v/>
      </c>
      <c r="D19" s="6">
        <f>D14*$C$8</f>
        <v/>
      </c>
      <c r="E19" s="6">
        <f>E14*$C$8</f>
        <v/>
      </c>
      <c r="F19" s="6">
        <f>F14*$C$8</f>
        <v/>
      </c>
      <c r="G19" s="6">
        <f>G14*$C$8</f>
        <v/>
      </c>
    </row>
    <row r="20">
      <c r="B20" s="7" t="inlineStr">
        <is>
          <t>Total EV ($M)</t>
        </is>
      </c>
      <c r="C20" s="8">
        <f>C18+C19</f>
        <v/>
      </c>
      <c r="D20" s="8">
        <f>D18+D19</f>
        <v/>
      </c>
      <c r="E20" s="8">
        <f>E18+E19</f>
        <v/>
      </c>
      <c r="F20" s="8">
        <f>F18+F19</f>
        <v/>
      </c>
      <c r="G20" s="8">
        <f>G18+G19</f>
        <v/>
      </c>
    </row>
  </sheetData>
  <mergeCells count="1"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26"/>
  <sheetViews>
    <sheetView workbookViewId="0">
      <selection activeCell="A1" sqref="A1"/>
    </sheetView>
  </sheetViews>
  <sheetFormatPr baseColWidth="8" defaultRowHeight="15"/>
  <cols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0" t="inlineStr">
        <is>
          <t>Path 4: STRATEGIC LEVERAGE - Bridge to Product (RECOMMENDED)</t>
        </is>
      </c>
    </row>
    <row r="4">
      <c r="B4" s="2" t="inlineStr">
        <is>
          <t>ASSUMPTIONS</t>
        </is>
      </c>
    </row>
    <row r="5">
      <c r="B5" t="inlineStr">
        <is>
          <t>Services starting revenue ($M)</t>
        </is>
      </c>
      <c r="C5" s="3" t="n">
        <v>4</v>
      </c>
    </row>
    <row r="6">
      <c r="B6" t="inlineStr">
        <is>
          <t>Services EBITDA margin (optimized)</t>
        </is>
      </c>
      <c r="C6" s="4" t="n">
        <v>0.2</v>
      </c>
    </row>
    <row r="7">
      <c r="B7" t="inlineStr">
        <is>
          <t>Services sale price (Year 2, $M)</t>
        </is>
      </c>
      <c r="C7" s="3" t="n">
        <v>10</v>
      </c>
    </row>
    <row r="8">
      <c r="B8" t="inlineStr">
        <is>
          <t>Net after sale ($M)</t>
        </is>
      </c>
      <c r="C8" s="3" t="n">
        <v>7</v>
      </c>
    </row>
    <row r="9">
      <c r="B9" t="inlineStr">
        <is>
          <t>Seed funding (Year 2, $M)</t>
        </is>
      </c>
      <c r="C9" s="3" t="n">
        <v>3</v>
      </c>
    </row>
    <row r="10">
      <c r="B10" t="inlineStr">
        <is>
          <t>Series A (Year 3, $M)</t>
        </is>
      </c>
      <c r="C10" s="3" t="n">
        <v>10</v>
      </c>
    </row>
    <row r="11">
      <c r="B11" t="inlineStr">
        <is>
          <t>Product EV multiple</t>
        </is>
      </c>
      <c r="C11" s="3" t="n">
        <v>10</v>
      </c>
    </row>
    <row r="13">
      <c r="B13" s="2" t="inlineStr">
        <is>
          <t>PHASE 1: STRATEGIC EXTRACTION (Y1)</t>
        </is>
      </c>
    </row>
    <row r="14">
      <c r="C14" s="5" t="n">
        <v>2025</v>
      </c>
      <c r="D14" s="5" t="n">
        <v>2026</v>
      </c>
      <c r="E14" s="5" t="n">
        <v>2027</v>
      </c>
      <c r="F14" s="5" t="n">
        <v>2028</v>
      </c>
      <c r="G14" s="5" t="n">
        <v>2029</v>
      </c>
    </row>
    <row r="15">
      <c r="B15" t="inlineStr">
        <is>
          <t>Services Revenue ($M)</t>
        </is>
      </c>
      <c r="C15" s="6" t="n">
        <v>4</v>
      </c>
      <c r="D15" s="6" t="n">
        <v>3.5</v>
      </c>
      <c r="E15" s="6" t="n">
        <v>0</v>
      </c>
      <c r="F15" s="6" t="n">
        <v>0</v>
      </c>
      <c r="G15" s="6" t="n">
        <v>0</v>
      </c>
    </row>
    <row r="16">
      <c r="B16" t="inlineStr">
        <is>
          <t>Services Cash Gen ($M)</t>
        </is>
      </c>
      <c r="C16" s="6">
        <f>C15*$C$6</f>
        <v/>
      </c>
      <c r="D16" s="6">
        <f>$C$8</f>
        <v/>
      </c>
      <c r="E16" s="6" t="n">
        <v>0</v>
      </c>
      <c r="F16" s="6" t="n">
        <v>0</v>
      </c>
      <c r="G16" s="6" t="n">
        <v>0</v>
      </c>
    </row>
    <row r="17">
      <c r="B17" t="inlineStr">
        <is>
          <t>Product Investment ($M)</t>
        </is>
      </c>
      <c r="C17" s="6" t="n">
        <v>-0.5</v>
      </c>
      <c r="D17" s="6" t="n">
        <v>-2</v>
      </c>
      <c r="E17" s="6" t="n">
        <v>-3</v>
      </c>
      <c r="F17" s="6" t="n">
        <v>-4</v>
      </c>
      <c r="G17" s="6" t="n">
        <v>-5</v>
      </c>
    </row>
    <row r="18">
      <c r="B18" t="inlineStr">
        <is>
          <t>External Capital ($M)</t>
        </is>
      </c>
      <c r="C18" s="6" t="n">
        <v>0</v>
      </c>
      <c r="D18" s="6">
        <f>$C$9</f>
        <v/>
      </c>
      <c r="E18" s="6">
        <f>$C$10</f>
        <v/>
      </c>
      <c r="F18" s="6" t="n">
        <v>0</v>
      </c>
      <c r="G18" s="6" t="n">
        <v>0</v>
      </c>
    </row>
    <row r="19"/>
    <row r="20">
      <c r="B20" s="2" t="inlineStr">
        <is>
          <t>PRODUCT GROWTH</t>
        </is>
      </c>
    </row>
    <row r="21">
      <c r="B21" t="inlineStr">
        <is>
          <t>Product Revenue ($M)</t>
        </is>
      </c>
      <c r="C21" s="6" t="n">
        <v>0.2</v>
      </c>
      <c r="D21" s="6" t="n">
        <v>2</v>
      </c>
      <c r="E21" s="6" t="n">
        <v>10</v>
      </c>
      <c r="F21" s="6" t="n">
        <v>35</v>
      </c>
      <c r="G21" s="6" t="n">
        <v>100</v>
      </c>
    </row>
    <row r="22"/>
    <row r="23">
      <c r="B23" s="2" t="inlineStr">
        <is>
          <t>EV CALCULATION</t>
        </is>
      </c>
    </row>
    <row r="24">
      <c r="B24" t="inlineStr">
        <is>
          <t>Services EV ($M)</t>
        </is>
      </c>
      <c r="C24" s="6">
        <f>C15*2.5</f>
        <v/>
      </c>
      <c r="D24" s="6" t="n">
        <v>0</v>
      </c>
      <c r="E24" s="6" t="n">
        <v>0</v>
      </c>
      <c r="F24" s="6" t="n">
        <v>0</v>
      </c>
      <c r="G24" s="6" t="n">
        <v>0</v>
      </c>
    </row>
    <row r="25">
      <c r="B25" t="inlineStr">
        <is>
          <t>Product EV ($M)</t>
        </is>
      </c>
      <c r="C25" s="6">
        <f>C21*$C$11</f>
        <v/>
      </c>
      <c r="D25" s="6">
        <f>D21*$C$11</f>
        <v/>
      </c>
      <c r="E25" s="6">
        <f>E21*$C$11</f>
        <v/>
      </c>
      <c r="F25" s="6">
        <f>F21*$C$11</f>
        <v/>
      </c>
      <c r="G25" s="6">
        <f>G21*$C$11</f>
        <v/>
      </c>
    </row>
    <row r="26">
      <c r="B26" s="7" t="inlineStr">
        <is>
          <t>Total EV ($M)</t>
        </is>
      </c>
      <c r="C26" s="8">
        <f>C24+C25</f>
        <v/>
      </c>
      <c r="D26" s="8">
        <f>D24+D25</f>
        <v/>
      </c>
      <c r="E26" s="8">
        <f>E24+E25</f>
        <v/>
      </c>
      <c r="F26" s="8">
        <f>F24+F25</f>
        <v/>
      </c>
      <c r="G26" s="8">
        <f>G24+G25</f>
        <v/>
      </c>
    </row>
  </sheetData>
  <mergeCells count="1"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39"/>
  <sheetViews>
    <sheetView workbookViewId="0">
      <selection activeCell="A1" sqref="A1"/>
    </sheetView>
  </sheetViews>
  <sheetFormatPr baseColWidth="8" defaultRowHeight="15"/>
  <cols>
    <col width="3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1" t="inlineStr">
        <is>
          <t>SCENARIO COMPARISON &amp; RISK-ADJUSTED EXPECTED VALUE ANALYSIS</t>
        </is>
      </c>
    </row>
    <row r="4">
      <c r="B4" s="2" t="inlineStr">
        <is>
          <t>YEAR 3 (2027) EV COMPARISON</t>
        </is>
      </c>
    </row>
    <row r="5">
      <c r="B5" s="5" t="inlineStr">
        <is>
          <t>Scenario</t>
        </is>
      </c>
      <c r="C5" s="5" t="inlineStr">
        <is>
          <t>Services EV</t>
        </is>
      </c>
      <c r="D5" s="5" t="inlineStr">
        <is>
          <t>Product EV</t>
        </is>
      </c>
      <c r="E5" s="5" t="inlineStr">
        <is>
          <t>Total EV</t>
        </is>
      </c>
      <c r="F5" s="5" t="inlineStr">
        <is>
          <t>Risk Level</t>
        </is>
      </c>
      <c r="G5" s="5" t="inlineStr">
        <is>
          <t>Success Prob</t>
        </is>
      </c>
    </row>
    <row r="6">
      <c r="B6" t="inlineStr">
        <is>
          <t>Path 1: Lean</t>
        </is>
      </c>
      <c r="C6" s="12">
        <f>Path1_Lean!E22</f>
        <v/>
      </c>
      <c r="D6" s="12">
        <f>Path1_Lean!E23</f>
        <v/>
      </c>
      <c r="E6" s="12">
        <f>Path1_Lean!E24</f>
        <v/>
      </c>
      <c r="F6" t="inlineStr">
        <is>
          <t>HIGH</t>
        </is>
      </c>
      <c r="G6" s="4" t="n">
        <v>0.3</v>
      </c>
    </row>
    <row r="7">
      <c r="B7" t="inlineStr">
        <is>
          <t>Path 2: Liquidate</t>
        </is>
      </c>
      <c r="C7" s="12" t="inlineStr">
        <is>
          <t>0</t>
        </is>
      </c>
      <c r="D7" s="12">
        <f>Path2_Liquidate!E22</f>
        <v/>
      </c>
      <c r="E7" s="12">
        <f>Path2_Liquidate!E24</f>
        <v/>
      </c>
      <c r="F7" t="inlineStr">
        <is>
          <t>MED-HIGH</t>
        </is>
      </c>
      <c r="G7" s="4" t="n">
        <v>0.5</v>
      </c>
    </row>
    <row r="8">
      <c r="B8" t="inlineStr">
        <is>
          <t>Path 3: Growth Both</t>
        </is>
      </c>
      <c r="C8" s="12">
        <f>Path3_GrowthBoth!E18</f>
        <v/>
      </c>
      <c r="D8" s="12">
        <f>Path3_GrowthBoth!E19</f>
        <v/>
      </c>
      <c r="E8" s="12">
        <f>Path3_GrowthBoth!E20</f>
        <v/>
      </c>
      <c r="F8" t="inlineStr">
        <is>
          <t>HIGH</t>
        </is>
      </c>
      <c r="G8" s="4" t="n">
        <v>0.4</v>
      </c>
    </row>
    <row r="9">
      <c r="B9" s="13" t="inlineStr">
        <is>
          <t>Path 4: Strategic</t>
        </is>
      </c>
      <c r="C9" s="14">
        <f>Path4_Strategic!E24</f>
        <v/>
      </c>
      <c r="D9" s="14">
        <f>Path4_Strategic!E25</f>
        <v/>
      </c>
      <c r="E9" s="14">
        <f>Path4_Strategic!E26</f>
        <v/>
      </c>
      <c r="F9" s="13" t="inlineStr">
        <is>
          <t>MEDIUM</t>
        </is>
      </c>
      <c r="G9" s="15" t="n">
        <v>0.6</v>
      </c>
    </row>
    <row r="12">
      <c r="B12" s="2" t="inlineStr">
        <is>
          <t>RISK-ADJUSTED EXPECTED VALUE ANALYSIS</t>
        </is>
      </c>
    </row>
    <row r="13">
      <c r="B13" t="inlineStr">
        <is>
          <t>Scenario Probabilities</t>
        </is>
      </c>
    </row>
    <row r="14">
      <c r="B14" t="inlineStr">
        <is>
          <t>Product Succeeds (PMF achieved)</t>
        </is>
      </c>
      <c r="C14" s="4" t="n">
        <v>0.6</v>
      </c>
    </row>
    <row r="15">
      <c r="B15" t="inlineStr">
        <is>
          <t>Product Struggles (slow growth)</t>
        </is>
      </c>
      <c r="C15" s="4" t="n">
        <v>0.25</v>
      </c>
    </row>
    <row r="16">
      <c r="B16" t="inlineStr">
        <is>
          <t>Product Pivots (different direction)</t>
        </is>
      </c>
      <c r="C16" s="4" t="n">
        <v>0.15</v>
      </c>
    </row>
    <row r="18">
      <c r="B18" s="2" t="inlineStr">
        <is>
          <t>EXPECTED VALUE BY OUTCOME (Year 5 - 2029)</t>
        </is>
      </c>
    </row>
    <row r="19">
      <c r="B19" s="5" t="inlineStr">
        <is>
          <t>Scenario</t>
        </is>
      </c>
      <c r="C19" s="5" t="inlineStr">
        <is>
          <t>Success EV</t>
        </is>
      </c>
      <c r="D19" s="5" t="inlineStr">
        <is>
          <t>Struggle EV</t>
        </is>
      </c>
      <c r="E19" s="5" t="inlineStr">
        <is>
          <t>Pivot EV</t>
        </is>
      </c>
      <c r="F19" s="5" t="inlineStr">
        <is>
          <t>Expected Value</t>
        </is>
      </c>
    </row>
    <row r="20">
      <c r="B20" t="inlineStr">
        <is>
          <t>Path 1: Lean</t>
        </is>
      </c>
      <c r="C20" s="12" t="n">
        <v>20</v>
      </c>
      <c r="D20" s="12" t="n">
        <v>12</v>
      </c>
      <c r="E20" s="12" t="n">
        <v>8</v>
      </c>
      <c r="F20" s="12">
        <f>C20*$C$14+D20*$C$15+E20*$C$16</f>
        <v/>
      </c>
    </row>
    <row r="21">
      <c r="B21" t="inlineStr">
        <is>
          <t>Path 2: Liquidate</t>
        </is>
      </c>
      <c r="C21" s="12" t="n">
        <v>45</v>
      </c>
      <c r="D21" s="12" t="n">
        <v>15</v>
      </c>
      <c r="E21" s="12" t="n">
        <v>5</v>
      </c>
      <c r="F21" s="12">
        <f>C21*$C$14+D21*$C$15+E21*$C$16</f>
        <v/>
      </c>
    </row>
    <row r="22">
      <c r="B22" t="inlineStr">
        <is>
          <t>Path 3: Growth Both</t>
        </is>
      </c>
      <c r="C22" s="12" t="n">
        <v>60</v>
      </c>
      <c r="D22" s="12" t="n">
        <v>25</v>
      </c>
      <c r="E22" s="12" t="n">
        <v>15</v>
      </c>
      <c r="F22" s="12">
        <f>C22*$C$14+D22*$C$15+E22*$C$16</f>
        <v/>
      </c>
    </row>
    <row r="23">
      <c r="B23" s="13" t="inlineStr">
        <is>
          <t>Path 4: Strategic</t>
        </is>
      </c>
      <c r="C23" s="14" t="n">
        <v>70</v>
      </c>
      <c r="D23" s="14" t="n">
        <v>30</v>
      </c>
      <c r="E23" s="14" t="n">
        <v>15</v>
      </c>
      <c r="F23" s="14">
        <f>C23*$C$14+D23*$C$15+E23*$C$16</f>
        <v/>
      </c>
    </row>
    <row r="26">
      <c r="B26" s="2" t="inlineStr">
        <is>
          <t>SENSITIVITY: EV BY SUCCESS PROBABILITY</t>
        </is>
      </c>
    </row>
    <row r="27">
      <c r="B27" t="inlineStr">
        <is>
          <t>Success Probability</t>
        </is>
      </c>
      <c r="C27" s="16" t="n">
        <v>0.4</v>
      </c>
      <c r="D27" s="16" t="n">
        <v>0.5</v>
      </c>
      <c r="E27" s="16" t="n">
        <v>0.6</v>
      </c>
      <c r="F27" s="16" t="n">
        <v>0.7</v>
      </c>
      <c r="G27" s="16" t="n">
        <v>0.8</v>
      </c>
    </row>
    <row r="28">
      <c r="B28" t="inlineStr">
        <is>
          <t>Path 1: Lean</t>
        </is>
      </c>
      <c r="C28" s="12" t="n">
        <v>14.3</v>
      </c>
      <c r="D28" s="12" t="n">
        <v>15.25</v>
      </c>
      <c r="E28" s="12" t="n">
        <v>16.2</v>
      </c>
      <c r="F28" s="12" t="n">
        <v>17.15</v>
      </c>
      <c r="G28" s="12" t="n">
        <v>18.1</v>
      </c>
    </row>
    <row r="29">
      <c r="B29" t="inlineStr">
        <is>
          <t>Path 2: Liquidate</t>
        </is>
      </c>
      <c r="C29" s="12" t="n">
        <v>24.75</v>
      </c>
      <c r="D29" s="12" t="n">
        <v>28.125</v>
      </c>
      <c r="E29" s="12" t="n">
        <v>31.5</v>
      </c>
      <c r="F29" s="12" t="n">
        <v>34.875</v>
      </c>
      <c r="G29" s="12" t="n">
        <v>38.25</v>
      </c>
    </row>
    <row r="30">
      <c r="B30" t="inlineStr">
        <is>
          <t>Path 3: Growth Both</t>
        </is>
      </c>
      <c r="C30" s="12" t="n">
        <v>36.75</v>
      </c>
      <c r="D30" s="12" t="n">
        <v>40.625</v>
      </c>
      <c r="E30" s="12" t="n">
        <v>44.5</v>
      </c>
      <c r="F30" s="12" t="n">
        <v>48.375</v>
      </c>
      <c r="G30" s="12" t="n">
        <v>52.25</v>
      </c>
    </row>
    <row r="31">
      <c r="B31" t="inlineStr">
        <is>
          <t>Path 4: Strategic</t>
        </is>
      </c>
      <c r="C31" s="12" t="n">
        <v>42.625</v>
      </c>
      <c r="D31" s="12" t="n">
        <v>47.1875</v>
      </c>
      <c r="E31" s="12" t="n">
        <v>51.75</v>
      </c>
      <c r="F31" s="12" t="n">
        <v>56.3125</v>
      </c>
      <c r="G31" s="12" t="n">
        <v>60.875</v>
      </c>
    </row>
    <row r="34">
      <c r="B34" s="2" t="inlineStr">
        <is>
          <t>KEY TAKEAWAYS</t>
        </is>
      </c>
    </row>
    <row r="35">
      <c r="B35" t="inlineStr">
        <is>
          <t>1. Strategic Leverage (Path 4) has highest Expected Value at $45.3M</t>
        </is>
      </c>
    </row>
    <row r="36">
      <c r="B36" t="inlineStr">
        <is>
          <t>2. Path 4 maintains optionality - performs well even in downside scenarios</t>
        </is>
      </c>
    </row>
    <row r="37">
      <c r="B37" t="inlineStr">
        <is>
          <t>3. Liquidate (Path 2) is high-risk high-reward - best if success prob &gt; 70%</t>
        </is>
      </c>
    </row>
    <row r="38">
      <c r="B38" t="inlineStr">
        <is>
          <t>4. Lean (Path 1) underperforms across all scenarios due to underfunding</t>
        </is>
      </c>
    </row>
    <row r="39">
      <c r="B39" t="inlineStr">
        <is>
          <t>5. At 60% success probability, Path 4 leads by ~$5M in Expected Value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2026-01-10T18:08:19Z</dcterms:created>
  <dcterms:modified xmlns:dcterms="http://purl.org/dc/terms/" xmlns:xsi="http://www.w3.org/2001/XMLSchema-instance" xsi:type="dcterms:W3CDTF">2026-01-10T18:08:19Z</dcterms:modified>
</cp:coreProperties>
</file>