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2001_{EB846CAF-61EB-8B4F-AF57-2FD75B756159}" xr6:coauthVersionLast="47" xr6:coauthVersionMax="47" xr10:uidLastSave="{00000000-0000-0000-0000-000000000000}"/>
  <bookViews>
    <workbookView xWindow="21920" yWindow="-26800" windowWidth="45140" windowHeight="26460" xr2:uid="{00000000-000D-0000-FFFF-FFFF00000000}"/>
  </bookViews>
  <sheets>
    <sheet name="Revenue Model (2)" sheetId="2" r:id="rId1"/>
    <sheet name="Revenue Model" sheetId="1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2" l="1"/>
  <c r="J36" i="2"/>
  <c r="K36" i="2"/>
  <c r="L36" i="2"/>
  <c r="M36" i="2"/>
  <c r="N36" i="2"/>
  <c r="O36" i="2"/>
  <c r="AD36" i="2"/>
  <c r="AE36" i="2"/>
  <c r="H36" i="2"/>
  <c r="AC36" i="2"/>
  <c r="AB36" i="2"/>
  <c r="AF36" i="2" l="1"/>
  <c r="AN17" i="2" l="1"/>
  <c r="H19" i="2"/>
  <c r="I19" i="2"/>
  <c r="J19" i="2"/>
  <c r="J31" i="2" s="1"/>
  <c r="P19" i="2"/>
  <c r="S19" i="2"/>
  <c r="T19" i="2"/>
  <c r="T31" i="2" s="1"/>
  <c r="U19" i="2"/>
  <c r="V19" i="2"/>
  <c r="W19" i="2"/>
  <c r="X19" i="2"/>
  <c r="Y19" i="2"/>
  <c r="Z19" i="2"/>
  <c r="AA19" i="2"/>
  <c r="G19" i="2"/>
  <c r="H18" i="2"/>
  <c r="I18" i="2"/>
  <c r="K19" i="2" s="1"/>
  <c r="J18" i="2"/>
  <c r="L19" i="2" s="1"/>
  <c r="K18" i="2"/>
  <c r="K30" i="2" s="1"/>
  <c r="L18" i="2"/>
  <c r="N19" i="2" s="1"/>
  <c r="M18" i="2"/>
  <c r="M30" i="2" s="1"/>
  <c r="N18" i="2"/>
  <c r="O18" i="2"/>
  <c r="Q19" i="2" s="1"/>
  <c r="P18" i="2"/>
  <c r="AG18" i="2" s="1"/>
  <c r="Q18" i="2"/>
  <c r="R18" i="2"/>
  <c r="R30" i="2" s="1"/>
  <c r="S18" i="2"/>
  <c r="AH18" i="2" s="1"/>
  <c r="T18" i="2"/>
  <c r="U18" i="2"/>
  <c r="V18" i="2"/>
  <c r="W18" i="2"/>
  <c r="X18" i="2"/>
  <c r="Y18" i="2"/>
  <c r="AJ18" i="2" s="1"/>
  <c r="Z18" i="2"/>
  <c r="Z30" i="2" s="1"/>
  <c r="AA18" i="2"/>
  <c r="AA30" i="2" s="1"/>
  <c r="F18" i="2"/>
  <c r="G18" i="2"/>
  <c r="E27" i="2"/>
  <c r="D27" i="2"/>
  <c r="G23" i="2"/>
  <c r="H23" i="2" s="1"/>
  <c r="I23" i="2" s="1"/>
  <c r="G24" i="2"/>
  <c r="H24" i="2" s="1"/>
  <c r="I24" i="2" s="1"/>
  <c r="J24" i="2" s="1"/>
  <c r="E25" i="2"/>
  <c r="F25" i="2" s="1"/>
  <c r="AB25" i="2" s="1"/>
  <c r="D25" i="2"/>
  <c r="D24" i="2"/>
  <c r="E24" i="2" s="1"/>
  <c r="F24" i="2" s="1"/>
  <c r="AB24" i="2" s="1"/>
  <c r="AB23" i="2"/>
  <c r="AB28" i="2"/>
  <c r="AC28" i="2"/>
  <c r="AD28" i="2"/>
  <c r="AE28" i="2"/>
  <c r="AF28" i="2"/>
  <c r="AG28" i="2"/>
  <c r="AH28" i="2"/>
  <c r="AI28" i="2"/>
  <c r="AJ28" i="2"/>
  <c r="AK28" i="2"/>
  <c r="AL28" i="2"/>
  <c r="AJ29" i="2"/>
  <c r="AI29" i="2"/>
  <c r="AH29" i="2"/>
  <c r="AG29" i="2"/>
  <c r="AK29" i="2" s="1"/>
  <c r="AD29" i="2"/>
  <c r="AB29" i="2"/>
  <c r="AB18" i="2"/>
  <c r="AC18" i="2"/>
  <c r="AI18" i="2"/>
  <c r="AB19" i="2"/>
  <c r="E31" i="2"/>
  <c r="G31" i="2"/>
  <c r="D31" i="2"/>
  <c r="E30" i="2"/>
  <c r="F30" i="2"/>
  <c r="AB30" i="2" s="1"/>
  <c r="G30" i="2"/>
  <c r="H30" i="2"/>
  <c r="V30" i="2"/>
  <c r="W30" i="2"/>
  <c r="X30" i="2"/>
  <c r="Y30" i="2"/>
  <c r="D30" i="2"/>
  <c r="E29" i="2"/>
  <c r="F29" i="2"/>
  <c r="G29" i="2"/>
  <c r="H29" i="2"/>
  <c r="I29" i="2"/>
  <c r="AC29" i="2" s="1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D29" i="2"/>
  <c r="D23" i="2"/>
  <c r="E23" i="2" s="1"/>
  <c r="F23" i="2" s="1"/>
  <c r="E22" i="2"/>
  <c r="D22" i="2"/>
  <c r="E19" i="2"/>
  <c r="F19" i="2"/>
  <c r="F31" i="2" s="1"/>
  <c r="AB31" i="2" s="1"/>
  <c r="H31" i="2"/>
  <c r="I31" i="2"/>
  <c r="V31" i="2"/>
  <c r="W31" i="2"/>
  <c r="X31" i="2"/>
  <c r="Y31" i="2"/>
  <c r="AA31" i="2"/>
  <c r="D19" i="2"/>
  <c r="E18" i="2"/>
  <c r="D18" i="2"/>
  <c r="E16" i="2"/>
  <c r="F16" i="2"/>
  <c r="F22" i="2" s="1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J16" i="2" s="1"/>
  <c r="D16" i="2"/>
  <c r="AD16" i="2"/>
  <c r="AE16" i="2"/>
  <c r="AJ17" i="2"/>
  <c r="AI17" i="2"/>
  <c r="AH17" i="2"/>
  <c r="AG17" i="2"/>
  <c r="AE17" i="2"/>
  <c r="AD17" i="2"/>
  <c r="AC17" i="2"/>
  <c r="AB17" i="2"/>
  <c r="B39" i="1"/>
  <c r="C39" i="1" s="1"/>
  <c r="AH38" i="1"/>
  <c r="AG38" i="1"/>
  <c r="AF38" i="1"/>
  <c r="AE38" i="1"/>
  <c r="AI38" i="1" s="1"/>
  <c r="AC38" i="1"/>
  <c r="AB38" i="1"/>
  <c r="AA38" i="1"/>
  <c r="Z38" i="1"/>
  <c r="AH37" i="1"/>
  <c r="AB37" i="1"/>
  <c r="Y37" i="1"/>
  <c r="X37" i="1"/>
  <c r="W37" i="1"/>
  <c r="V37" i="1"/>
  <c r="AG37" i="1" s="1"/>
  <c r="U37" i="1"/>
  <c r="T37" i="1"/>
  <c r="S37" i="1"/>
  <c r="R37" i="1"/>
  <c r="Q37" i="1"/>
  <c r="AF37" i="1" s="1"/>
  <c r="P37" i="1"/>
  <c r="O37" i="1"/>
  <c r="N37" i="1"/>
  <c r="M37" i="1"/>
  <c r="L37" i="1"/>
  <c r="AC37" i="1" s="1"/>
  <c r="K37" i="1"/>
  <c r="J37" i="1"/>
  <c r="I37" i="1"/>
  <c r="H37" i="1"/>
  <c r="G37" i="1"/>
  <c r="F37" i="1"/>
  <c r="E37" i="1"/>
  <c r="AA37" i="1" s="1"/>
  <c r="D37" i="1"/>
  <c r="C37" i="1"/>
  <c r="B37" i="1"/>
  <c r="Z37" i="1" s="1"/>
  <c r="B32" i="1"/>
  <c r="C32" i="1" s="1"/>
  <c r="D32" i="1" s="1"/>
  <c r="E32" i="1" s="1"/>
  <c r="F32" i="1" s="1"/>
  <c r="G32" i="1" s="1"/>
  <c r="AH31" i="1"/>
  <c r="AG31" i="1"/>
  <c r="AI31" i="1" s="1"/>
  <c r="AF31" i="1"/>
  <c r="AE31" i="1"/>
  <c r="AC31" i="1"/>
  <c r="AB31" i="1"/>
  <c r="AA31" i="1"/>
  <c r="Z31" i="1"/>
  <c r="AD31" i="1" s="1"/>
  <c r="Y30" i="1"/>
  <c r="X30" i="1"/>
  <c r="W30" i="1"/>
  <c r="AH30" i="1" s="1"/>
  <c r="V30" i="1"/>
  <c r="U30" i="1"/>
  <c r="T30" i="1"/>
  <c r="AG30" i="1" s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AA30" i="1" s="1"/>
  <c r="E30" i="1"/>
  <c r="D30" i="1"/>
  <c r="C30" i="1"/>
  <c r="B30" i="1"/>
  <c r="B25" i="1"/>
  <c r="B44" i="1" s="1"/>
  <c r="AH24" i="1"/>
  <c r="AG24" i="1"/>
  <c r="AF24" i="1"/>
  <c r="AE24" i="1"/>
  <c r="AI24" i="1" s="1"/>
  <c r="AC24" i="1"/>
  <c r="AB24" i="1"/>
  <c r="AD24" i="1" s="1"/>
  <c r="AJ24" i="1" s="1"/>
  <c r="AA24" i="1"/>
  <c r="Z24" i="1"/>
  <c r="Y23" i="1"/>
  <c r="X23" i="1"/>
  <c r="W23" i="1"/>
  <c r="AH23" i="1" s="1"/>
  <c r="V23" i="1"/>
  <c r="U23" i="1"/>
  <c r="T23" i="1"/>
  <c r="S23" i="1"/>
  <c r="R23" i="1"/>
  <c r="Q23" i="1"/>
  <c r="AF23" i="1" s="1"/>
  <c r="P23" i="1"/>
  <c r="O23" i="1"/>
  <c r="N23" i="1"/>
  <c r="AE23" i="1" s="1"/>
  <c r="M23" i="1"/>
  <c r="L23" i="1"/>
  <c r="K23" i="1"/>
  <c r="J23" i="1"/>
  <c r="I23" i="1"/>
  <c r="H23" i="1"/>
  <c r="AB23" i="1" s="1"/>
  <c r="G23" i="1"/>
  <c r="F23" i="1"/>
  <c r="E23" i="1"/>
  <c r="D23" i="1"/>
  <c r="C23" i="1"/>
  <c r="B23" i="1"/>
  <c r="Z23" i="1" s="1"/>
  <c r="R19" i="2" l="1"/>
  <c r="AE29" i="2"/>
  <c r="O19" i="2"/>
  <c r="O31" i="2" s="1"/>
  <c r="M19" i="2"/>
  <c r="AC23" i="2"/>
  <c r="J23" i="2"/>
  <c r="K23" i="2" s="1"/>
  <c r="L23" i="2" s="1"/>
  <c r="AB22" i="2"/>
  <c r="G22" i="2"/>
  <c r="J30" i="2"/>
  <c r="AF29" i="2"/>
  <c r="AL29" i="2" s="1"/>
  <c r="H22" i="2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F17" i="2"/>
  <c r="L31" i="2"/>
  <c r="I30" i="2"/>
  <c r="I27" i="2" s="1"/>
  <c r="N31" i="2"/>
  <c r="N27" i="2" s="1"/>
  <c r="U31" i="2"/>
  <c r="Q31" i="2"/>
  <c r="K24" i="2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D18" i="2"/>
  <c r="N30" i="2"/>
  <c r="L30" i="2"/>
  <c r="AE18" i="2"/>
  <c r="O30" i="2"/>
  <c r="AE30" i="2" s="1"/>
  <c r="AI19" i="2"/>
  <c r="M31" i="2"/>
  <c r="AD30" i="2"/>
  <c r="H27" i="2"/>
  <c r="AJ19" i="2"/>
  <c r="AJ30" i="2"/>
  <c r="AI30" i="2"/>
  <c r="K31" i="2"/>
  <c r="K27" i="2" s="1"/>
  <c r="P31" i="2"/>
  <c r="AA27" i="2"/>
  <c r="X27" i="2"/>
  <c r="W27" i="2"/>
  <c r="AI31" i="2"/>
  <c r="AK18" i="2"/>
  <c r="L27" i="2"/>
  <c r="V27" i="2"/>
  <c r="Y27" i="2"/>
  <c r="J27" i="2"/>
  <c r="U30" i="2"/>
  <c r="U27" i="2" s="1"/>
  <c r="Q30" i="2"/>
  <c r="Z31" i="2"/>
  <c r="Z27" i="2" s="1"/>
  <c r="R31" i="2"/>
  <c r="R27" i="2" s="1"/>
  <c r="AC31" i="2"/>
  <c r="AC30" i="2"/>
  <c r="T30" i="2"/>
  <c r="T27" i="2" s="1"/>
  <c r="S30" i="2"/>
  <c r="AC19" i="2"/>
  <c r="P30" i="2"/>
  <c r="AB27" i="2"/>
  <c r="G25" i="2"/>
  <c r="H25" i="2" s="1"/>
  <c r="I25" i="2" s="1"/>
  <c r="AC25" i="2" s="1"/>
  <c r="F27" i="2"/>
  <c r="G27" i="2"/>
  <c r="J25" i="2"/>
  <c r="AC24" i="2"/>
  <c r="AG16" i="2"/>
  <c r="AH16" i="2"/>
  <c r="AB16" i="2"/>
  <c r="AI16" i="2"/>
  <c r="AC16" i="2"/>
  <c r="AK17" i="2"/>
  <c r="AD37" i="1"/>
  <c r="AD38" i="1"/>
  <c r="AJ38" i="1" s="1"/>
  <c r="C25" i="1"/>
  <c r="D25" i="1" s="1"/>
  <c r="AF30" i="1"/>
  <c r="AB30" i="1"/>
  <c r="B33" i="1"/>
  <c r="AA23" i="1"/>
  <c r="B26" i="1"/>
  <c r="B27" i="1" s="1"/>
  <c r="AE30" i="1"/>
  <c r="AI30" i="1" s="1"/>
  <c r="AC23" i="1"/>
  <c r="Z30" i="1"/>
  <c r="AD30" i="1" s="1"/>
  <c r="AJ30" i="1" s="1"/>
  <c r="AA32" i="1"/>
  <c r="H32" i="1"/>
  <c r="I32" i="1" s="1"/>
  <c r="J32" i="1" s="1"/>
  <c r="AJ31" i="1"/>
  <c r="D39" i="1"/>
  <c r="C44" i="1"/>
  <c r="Z25" i="1"/>
  <c r="E25" i="1"/>
  <c r="D44" i="1"/>
  <c r="Z44" i="1" s="1"/>
  <c r="B40" i="1"/>
  <c r="AC30" i="1"/>
  <c r="B34" i="1"/>
  <c r="C33" i="1"/>
  <c r="Z32" i="1"/>
  <c r="C26" i="1"/>
  <c r="AD23" i="1"/>
  <c r="AG23" i="1"/>
  <c r="AI23" i="1" s="1"/>
  <c r="AE37" i="1"/>
  <c r="AI37" i="1" s="1"/>
  <c r="AJ37" i="1" s="1"/>
  <c r="Q27" i="2" l="1"/>
  <c r="O27" i="2"/>
  <c r="AF18" i="2"/>
  <c r="AE31" i="2"/>
  <c r="AE27" i="2" s="1"/>
  <c r="AL17" i="2"/>
  <c r="AC22" i="2"/>
  <c r="AD23" i="2"/>
  <c r="M23" i="2"/>
  <c r="N23" i="2" s="1"/>
  <c r="O23" i="2" s="1"/>
  <c r="AL18" i="2"/>
  <c r="M27" i="2"/>
  <c r="AC27" i="2"/>
  <c r="AE19" i="2"/>
  <c r="K25" i="2"/>
  <c r="L25" i="2" s="1"/>
  <c r="AD25" i="2" s="1"/>
  <c r="AD31" i="2"/>
  <c r="AD27" i="2" s="1"/>
  <c r="AI27" i="2"/>
  <c r="AD19" i="2"/>
  <c r="AJ31" i="2"/>
  <c r="AJ27" i="2" s="1"/>
  <c r="AH30" i="2"/>
  <c r="AF30" i="2"/>
  <c r="S31" i="2"/>
  <c r="AH31" i="2" s="1"/>
  <c r="AH19" i="2"/>
  <c r="AG31" i="2"/>
  <c r="AK31" i="2" s="1"/>
  <c r="AG30" i="2"/>
  <c r="P27" i="2"/>
  <c r="AG19" i="2"/>
  <c r="AD22" i="2"/>
  <c r="AD24" i="2"/>
  <c r="AK16" i="2"/>
  <c r="AF16" i="2"/>
  <c r="AL16" i="2" s="1"/>
  <c r="B45" i="1"/>
  <c r="B47" i="1"/>
  <c r="K32" i="1"/>
  <c r="L32" i="1" s="1"/>
  <c r="M32" i="1" s="1"/>
  <c r="AB32" i="1"/>
  <c r="F25" i="1"/>
  <c r="AJ23" i="1"/>
  <c r="D26" i="1"/>
  <c r="C27" i="1"/>
  <c r="C34" i="1"/>
  <c r="D33" i="1"/>
  <c r="B41" i="1"/>
  <c r="B46" i="1" s="1"/>
  <c r="C40" i="1"/>
  <c r="C45" i="1" s="1"/>
  <c r="E39" i="1"/>
  <c r="F39" i="1" s="1"/>
  <c r="G39" i="1" s="1"/>
  <c r="Z39" i="1"/>
  <c r="AF19" i="2" l="1"/>
  <c r="P23" i="2"/>
  <c r="Q23" i="2" s="1"/>
  <c r="R23" i="2" s="1"/>
  <c r="AE23" i="2"/>
  <c r="AF23" i="2" s="1"/>
  <c r="M25" i="2"/>
  <c r="N25" i="2" s="1"/>
  <c r="O25" i="2" s="1"/>
  <c r="P25" i="2" s="1"/>
  <c r="Q25" i="2" s="1"/>
  <c r="R25" i="2" s="1"/>
  <c r="AK19" i="2"/>
  <c r="AL19" i="2" s="1"/>
  <c r="AF31" i="2"/>
  <c r="AF27" i="2" s="1"/>
  <c r="AG27" i="2"/>
  <c r="AK30" i="2"/>
  <c r="AK27" i="2" s="1"/>
  <c r="AH27" i="2"/>
  <c r="S27" i="2"/>
  <c r="AE24" i="2"/>
  <c r="AF24" i="2" s="1"/>
  <c r="AE22" i="2"/>
  <c r="AF22" i="2" s="1"/>
  <c r="E44" i="1"/>
  <c r="F44" i="1"/>
  <c r="G25" i="1"/>
  <c r="AD32" i="1"/>
  <c r="AC32" i="1"/>
  <c r="N32" i="1"/>
  <c r="O32" i="1" s="1"/>
  <c r="P32" i="1" s="1"/>
  <c r="D34" i="1"/>
  <c r="Z34" i="1" s="1"/>
  <c r="E33" i="1"/>
  <c r="AA39" i="1"/>
  <c r="H39" i="1"/>
  <c r="I39" i="1" s="1"/>
  <c r="J39" i="1" s="1"/>
  <c r="C41" i="1"/>
  <c r="C46" i="1" s="1"/>
  <c r="D40" i="1"/>
  <c r="C47" i="1"/>
  <c r="Z33" i="1"/>
  <c r="E26" i="1"/>
  <c r="D27" i="1"/>
  <c r="Z26" i="1"/>
  <c r="S23" i="2" l="1"/>
  <c r="T23" i="2" s="1"/>
  <c r="U23" i="2" s="1"/>
  <c r="AG23" i="2"/>
  <c r="AE25" i="2"/>
  <c r="AF25" i="2" s="1"/>
  <c r="AL30" i="2"/>
  <c r="AL31" i="2"/>
  <c r="AL27" i="2" s="1"/>
  <c r="S25" i="2"/>
  <c r="T25" i="2" s="1"/>
  <c r="U25" i="2" s="1"/>
  <c r="AG25" i="2"/>
  <c r="AG22" i="2"/>
  <c r="AG24" i="2"/>
  <c r="D41" i="1"/>
  <c r="Z41" i="1" s="1"/>
  <c r="E40" i="1"/>
  <c r="Z40" i="1"/>
  <c r="E34" i="1"/>
  <c r="F33" i="1"/>
  <c r="AE32" i="1"/>
  <c r="Q32" i="1"/>
  <c r="R32" i="1" s="1"/>
  <c r="S32" i="1" s="1"/>
  <c r="E45" i="1"/>
  <c r="F26" i="1"/>
  <c r="E27" i="1"/>
  <c r="AB39" i="1"/>
  <c r="K39" i="1"/>
  <c r="L39" i="1" s="1"/>
  <c r="M39" i="1" s="1"/>
  <c r="Z27" i="1"/>
  <c r="D46" i="1"/>
  <c r="Z46" i="1" s="1"/>
  <c r="AA25" i="1"/>
  <c r="G44" i="1"/>
  <c r="AA44" i="1" s="1"/>
  <c r="H25" i="1"/>
  <c r="D45" i="1"/>
  <c r="Z45" i="1" s="1"/>
  <c r="D47" i="1"/>
  <c r="V23" i="2" l="1"/>
  <c r="W23" i="2" s="1"/>
  <c r="X23" i="2" s="1"/>
  <c r="AH23" i="2"/>
  <c r="V25" i="2"/>
  <c r="W25" i="2" s="1"/>
  <c r="X25" i="2" s="1"/>
  <c r="AH25" i="2"/>
  <c r="AH24" i="2"/>
  <c r="AH22" i="2"/>
  <c r="G26" i="1"/>
  <c r="F27" i="1"/>
  <c r="AF32" i="1"/>
  <c r="T32" i="1"/>
  <c r="U32" i="1" s="1"/>
  <c r="V32" i="1" s="1"/>
  <c r="E47" i="1"/>
  <c r="Z47" i="1"/>
  <c r="AA26" i="1"/>
  <c r="I25" i="1"/>
  <c r="H44" i="1"/>
  <c r="F34" i="1"/>
  <c r="G33" i="1"/>
  <c r="E41" i="1"/>
  <c r="E46" i="1" s="1"/>
  <c r="F40" i="1"/>
  <c r="N39" i="1"/>
  <c r="O39" i="1" s="1"/>
  <c r="P39" i="1" s="1"/>
  <c r="AD39" i="1"/>
  <c r="AC39" i="1"/>
  <c r="Y23" i="2" l="1"/>
  <c r="Z23" i="2" s="1"/>
  <c r="AA23" i="2" s="1"/>
  <c r="AJ23" i="2" s="1"/>
  <c r="AK23" i="2" s="1"/>
  <c r="AL23" i="2" s="1"/>
  <c r="AI23" i="2"/>
  <c r="Y25" i="2"/>
  <c r="Z25" i="2" s="1"/>
  <c r="AA25" i="2" s="1"/>
  <c r="AJ25" i="2" s="1"/>
  <c r="AK25" i="2" s="1"/>
  <c r="AL25" i="2" s="1"/>
  <c r="AI25" i="2"/>
  <c r="AI22" i="2"/>
  <c r="AJ22" i="2"/>
  <c r="AK22" i="2" s="1"/>
  <c r="AL22" i="2" s="1"/>
  <c r="AI24" i="2"/>
  <c r="AJ24" i="2"/>
  <c r="AK24" i="2" s="1"/>
  <c r="AL24" i="2" s="1"/>
  <c r="J25" i="1"/>
  <c r="I44" i="1"/>
  <c r="Q39" i="1"/>
  <c r="R39" i="1" s="1"/>
  <c r="S39" i="1" s="1"/>
  <c r="AE39" i="1"/>
  <c r="AG32" i="1"/>
  <c r="W32" i="1"/>
  <c r="X32" i="1" s="1"/>
  <c r="Y32" i="1" s="1"/>
  <c r="H33" i="1"/>
  <c r="G34" i="1"/>
  <c r="AA34" i="1" s="1"/>
  <c r="H26" i="1"/>
  <c r="G27" i="1"/>
  <c r="F41" i="1"/>
  <c r="F46" i="1" s="1"/>
  <c r="G40" i="1"/>
  <c r="AA40" i="1" s="1"/>
  <c r="F45" i="1"/>
  <c r="AA33" i="1"/>
  <c r="G45" i="1" l="1"/>
  <c r="AA27" i="1"/>
  <c r="I33" i="1"/>
  <c r="H34" i="1"/>
  <c r="AJ32" i="1"/>
  <c r="AH32" i="1"/>
  <c r="AI32" i="1"/>
  <c r="G41" i="1"/>
  <c r="AA41" i="1" s="1"/>
  <c r="H40" i="1"/>
  <c r="H45" i="1" s="1"/>
  <c r="H27" i="1"/>
  <c r="I26" i="1"/>
  <c r="AA45" i="1"/>
  <c r="T39" i="1"/>
  <c r="U39" i="1" s="1"/>
  <c r="V39" i="1" s="1"/>
  <c r="AF39" i="1"/>
  <c r="F47" i="1"/>
  <c r="AB25" i="1"/>
  <c r="K25" i="1"/>
  <c r="J44" i="1"/>
  <c r="AB44" i="1" s="1"/>
  <c r="I27" i="1" l="1"/>
  <c r="J26" i="1"/>
  <c r="AG39" i="1"/>
  <c r="W39" i="1"/>
  <c r="X39" i="1" s="1"/>
  <c r="Y39" i="1" s="1"/>
  <c r="G47" i="1"/>
  <c r="H47" i="1" s="1"/>
  <c r="AA47" i="1"/>
  <c r="J33" i="1"/>
  <c r="I34" i="1"/>
  <c r="G46" i="1"/>
  <c r="AA46" i="1" s="1"/>
  <c r="AB26" i="1"/>
  <c r="H41" i="1"/>
  <c r="H46" i="1" s="1"/>
  <c r="I40" i="1"/>
  <c r="I45" i="1" s="1"/>
  <c r="L25" i="1"/>
  <c r="K44" i="1"/>
  <c r="K33" i="1" l="1"/>
  <c r="J34" i="1"/>
  <c r="AB34" i="1" s="1"/>
  <c r="AB33" i="1"/>
  <c r="I47" i="1"/>
  <c r="L44" i="1"/>
  <c r="M25" i="1"/>
  <c r="AI39" i="1"/>
  <c r="AH39" i="1"/>
  <c r="AJ39" i="1"/>
  <c r="J27" i="1"/>
  <c r="K26" i="1"/>
  <c r="J40" i="1"/>
  <c r="AB40" i="1" s="1"/>
  <c r="I41" i="1"/>
  <c r="I46" i="1" s="1"/>
  <c r="K34" i="1" l="1"/>
  <c r="L33" i="1"/>
  <c r="K40" i="1"/>
  <c r="J41" i="1"/>
  <c r="AB41" i="1" s="1"/>
  <c r="AC25" i="1"/>
  <c r="N25" i="1"/>
  <c r="M44" i="1"/>
  <c r="AD25" i="1"/>
  <c r="J45" i="1"/>
  <c r="AB45" i="1" s="1"/>
  <c r="K27" i="1"/>
  <c r="L26" i="1"/>
  <c r="AB27" i="1"/>
  <c r="N44" i="1" l="1"/>
  <c r="O25" i="1"/>
  <c r="J47" i="1"/>
  <c r="L40" i="1"/>
  <c r="K41" i="1"/>
  <c r="K46" i="1" s="1"/>
  <c r="L34" i="1"/>
  <c r="M33" i="1"/>
  <c r="AC33" i="1" s="1"/>
  <c r="AD33" i="1" s="1"/>
  <c r="AC44" i="1"/>
  <c r="AD44" i="1"/>
  <c r="J46" i="1"/>
  <c r="AB46" i="1" s="1"/>
  <c r="L27" i="1"/>
  <c r="L45" i="1"/>
  <c r="M26" i="1"/>
  <c r="AC26" i="1" s="1"/>
  <c r="AD26" i="1" s="1"/>
  <c r="K45" i="1"/>
  <c r="M40" i="1" l="1"/>
  <c r="L41" i="1"/>
  <c r="L46" i="1" s="1"/>
  <c r="O44" i="1"/>
  <c r="P25" i="1"/>
  <c r="N33" i="1"/>
  <c r="M34" i="1"/>
  <c r="AC40" i="1"/>
  <c r="AD40" i="1" s="1"/>
  <c r="K47" i="1"/>
  <c r="AB47" i="1"/>
  <c r="M27" i="1"/>
  <c r="N26" i="1"/>
  <c r="N34" i="1" l="1"/>
  <c r="O33" i="1"/>
  <c r="AC27" i="1"/>
  <c r="AD27" i="1"/>
  <c r="L47" i="1"/>
  <c r="M47" i="1" s="1"/>
  <c r="AC34" i="1"/>
  <c r="AD34" i="1"/>
  <c r="AE25" i="1"/>
  <c r="Q25" i="1"/>
  <c r="P44" i="1"/>
  <c r="AE44" i="1" s="1"/>
  <c r="N40" i="1"/>
  <c r="N45" i="1" s="1"/>
  <c r="M41" i="1"/>
  <c r="M46" i="1" s="1"/>
  <c r="N27" i="1"/>
  <c r="O26" i="1"/>
  <c r="M45" i="1"/>
  <c r="AC45" i="1" s="1"/>
  <c r="AD45" i="1" s="1"/>
  <c r="N47" i="1" l="1"/>
  <c r="R25" i="1"/>
  <c r="Q44" i="1"/>
  <c r="AC47" i="1"/>
  <c r="AD47" i="1" s="1"/>
  <c r="AC46" i="1"/>
  <c r="AD46" i="1"/>
  <c r="N46" i="1"/>
  <c r="O27" i="1"/>
  <c r="O45" i="1"/>
  <c r="P26" i="1"/>
  <c r="O34" i="1"/>
  <c r="P33" i="1"/>
  <c r="AD41" i="1"/>
  <c r="AC41" i="1"/>
  <c r="N41" i="1"/>
  <c r="O40" i="1"/>
  <c r="O47" i="1" l="1"/>
  <c r="P27" i="1"/>
  <c r="Q26" i="1"/>
  <c r="AE26" i="1"/>
  <c r="P40" i="1"/>
  <c r="O41" i="1"/>
  <c r="R44" i="1"/>
  <c r="S25" i="1"/>
  <c r="O46" i="1"/>
  <c r="P34" i="1"/>
  <c r="AE34" i="1" s="1"/>
  <c r="Q33" i="1"/>
  <c r="AE33" i="1"/>
  <c r="P41" i="1" l="1"/>
  <c r="AE41" i="1" s="1"/>
  <c r="Q40" i="1"/>
  <c r="AE40" i="1"/>
  <c r="P45" i="1"/>
  <c r="AE45" i="1" s="1"/>
  <c r="Q34" i="1"/>
  <c r="R33" i="1"/>
  <c r="AF25" i="1"/>
  <c r="S44" i="1"/>
  <c r="AF44" i="1" s="1"/>
  <c r="T25" i="1"/>
  <c r="Q45" i="1"/>
  <c r="R26" i="1"/>
  <c r="Q27" i="1"/>
  <c r="P46" i="1"/>
  <c r="AE46" i="1" s="1"/>
  <c r="AE27" i="1"/>
  <c r="P47" i="1" l="1"/>
  <c r="AE47" i="1" s="1"/>
  <c r="S26" i="1"/>
  <c r="R27" i="1"/>
  <c r="R34" i="1"/>
  <c r="S33" i="1"/>
  <c r="AF33" i="1" s="1"/>
  <c r="T44" i="1"/>
  <c r="U25" i="1"/>
  <c r="R40" i="1"/>
  <c r="Q41" i="1"/>
  <c r="Q46" i="1"/>
  <c r="Q47" i="1"/>
  <c r="AF26" i="1"/>
  <c r="U44" i="1" l="1"/>
  <c r="V25" i="1"/>
  <c r="T26" i="1"/>
  <c r="S27" i="1"/>
  <c r="R41" i="1"/>
  <c r="R46" i="1" s="1"/>
  <c r="S40" i="1"/>
  <c r="S45" i="1" s="1"/>
  <c r="T33" i="1"/>
  <c r="S34" i="1"/>
  <c r="AF34" i="1" s="1"/>
  <c r="R45" i="1"/>
  <c r="R47" i="1" s="1"/>
  <c r="U33" i="1" l="1"/>
  <c r="T34" i="1"/>
  <c r="AF27" i="1"/>
  <c r="S41" i="1"/>
  <c r="AF41" i="1" s="1"/>
  <c r="T40" i="1"/>
  <c r="U26" i="1"/>
  <c r="T45" i="1"/>
  <c r="T27" i="1"/>
  <c r="AG25" i="1"/>
  <c r="V44" i="1"/>
  <c r="AG44" i="1" s="1"/>
  <c r="W25" i="1"/>
  <c r="S47" i="1"/>
  <c r="AF45" i="1"/>
  <c r="AF40" i="1"/>
  <c r="W44" i="1" l="1"/>
  <c r="X25" i="1"/>
  <c r="V26" i="1"/>
  <c r="U27" i="1"/>
  <c r="T41" i="1"/>
  <c r="T46" i="1" s="1"/>
  <c r="U40" i="1"/>
  <c r="S46" i="1"/>
  <c r="AF46" i="1" s="1"/>
  <c r="AG26" i="1"/>
  <c r="V33" i="1"/>
  <c r="U34" i="1"/>
  <c r="T47" i="1"/>
  <c r="AF47" i="1"/>
  <c r="AG33" i="1"/>
  <c r="U41" i="1" l="1"/>
  <c r="V40" i="1"/>
  <c r="U46" i="1"/>
  <c r="V45" i="1"/>
  <c r="V27" i="1"/>
  <c r="W26" i="1"/>
  <c r="X44" i="1"/>
  <c r="Y25" i="1"/>
  <c r="AG40" i="1"/>
  <c r="U45" i="1"/>
  <c r="AG45" i="1" s="1"/>
  <c r="U47" i="1"/>
  <c r="V47" i="1" s="1"/>
  <c r="W33" i="1"/>
  <c r="V34" i="1"/>
  <c r="AG34" i="1" s="1"/>
  <c r="X26" i="1" l="1"/>
  <c r="W27" i="1"/>
  <c r="Y44" i="1"/>
  <c r="AJ25" i="1"/>
  <c r="AI25" i="1"/>
  <c r="AH25" i="1"/>
  <c r="AG27" i="1"/>
  <c r="V41" i="1"/>
  <c r="AG41" i="1" s="1"/>
  <c r="W40" i="1"/>
  <c r="W45" i="1" s="1"/>
  <c r="W47" i="1" s="1"/>
  <c r="X33" i="1"/>
  <c r="W34" i="1"/>
  <c r="AG47" i="1"/>
  <c r="V46" i="1" l="1"/>
  <c r="AG46" i="1" s="1"/>
  <c r="Y26" i="1"/>
  <c r="X27" i="1"/>
  <c r="AI44" i="1"/>
  <c r="AH44" i="1"/>
  <c r="AJ44" i="1"/>
  <c r="Y33" i="1"/>
  <c r="X34" i="1"/>
  <c r="W41" i="1"/>
  <c r="W46" i="1" s="1"/>
  <c r="X40" i="1"/>
  <c r="X45" i="1" s="1"/>
  <c r="X47" i="1" s="1"/>
  <c r="Y34" i="1" l="1"/>
  <c r="AH33" i="1"/>
  <c r="AI33" i="1" s="1"/>
  <c r="AJ33" i="1" s="1"/>
  <c r="Y27" i="1"/>
  <c r="Y40" i="1"/>
  <c r="Y41" i="1" s="1"/>
  <c r="X41" i="1"/>
  <c r="X46" i="1" s="1"/>
  <c r="AH40" i="1"/>
  <c r="AI40" i="1" s="1"/>
  <c r="AJ40" i="1" s="1"/>
  <c r="AH26" i="1"/>
  <c r="AI26" i="1" s="1"/>
  <c r="AJ26" i="1" s="1"/>
  <c r="AJ41" i="1" l="1"/>
  <c r="AI41" i="1"/>
  <c r="AH41" i="1"/>
  <c r="Y45" i="1"/>
  <c r="Y46" i="1"/>
  <c r="AJ27" i="1"/>
  <c r="AI27" i="1"/>
  <c r="AH27" i="1"/>
  <c r="AI34" i="1"/>
  <c r="AJ34" i="1"/>
  <c r="AH34" i="1"/>
  <c r="AI46" i="1" l="1"/>
  <c r="AH46" i="1"/>
  <c r="AJ46" i="1"/>
  <c r="AH45" i="1"/>
  <c r="AI45" i="1" s="1"/>
  <c r="AJ45" i="1" s="1"/>
  <c r="Y47" i="1"/>
  <c r="AH47" i="1" s="1"/>
  <c r="AI47" i="1" s="1"/>
  <c r="AJ47" i="1" s="1"/>
</calcChain>
</file>

<file path=xl/sharedStrings.xml><?xml version="1.0" encoding="utf-8"?>
<sst xmlns="http://schemas.openxmlformats.org/spreadsheetml/2006/main" count="151" uniqueCount="102">
  <si>
    <t>KEY ASSUMPTIONS</t>
  </si>
  <si>
    <t>Average Annual Revenue per Customer (Year 1)</t>
  </si>
  <si>
    <t xml:space="preserve">  SMB Average ARR</t>
  </si>
  <si>
    <t>$500-2,500/month tiers</t>
  </si>
  <si>
    <t xml:space="preserve">  Mid-Market Average ARR</t>
  </si>
  <si>
    <t>Grows to $150K by Year 5</t>
  </si>
  <si>
    <t xml:space="preserve">  Enterprise Average ARR</t>
  </si>
  <si>
    <t>Grows to $500K by Year 5</t>
  </si>
  <si>
    <t>Net Dollar Retention (Expansion - Churn)</t>
  </si>
  <si>
    <t xml:space="preserve">  SMB Monthly Expansion Rate</t>
  </si>
  <si>
    <t>~110% NDR annually</t>
  </si>
  <si>
    <t xml:space="preserve">  Mid-Market Monthly Expansion Rate</t>
  </si>
  <si>
    <t>~119% NDR annually</t>
  </si>
  <si>
    <t xml:space="preserve">  Enterprise Monthly Expansion Rate</t>
  </si>
  <si>
    <t>~126% NDR annually</t>
  </si>
  <si>
    <t xml:space="preserve">  SMB Monthly Churn Rate</t>
  </si>
  <si>
    <t>~18% annual churn</t>
  </si>
  <si>
    <t xml:space="preserve">  Mid-Market Monthly Churn Rate</t>
  </si>
  <si>
    <t>~10% annual churn</t>
  </si>
  <si>
    <t xml:space="preserve">  Enterprise Monthly Churn Rate</t>
  </si>
  <si>
    <t>~6% annual churn</t>
  </si>
  <si>
    <t>Free-to-Paid Conversion (30-day model)</t>
  </si>
  <si>
    <t xml:space="preserve">  30-Day Conversion Rate</t>
  </si>
  <si>
    <t>Free users who convert to paid in following month</t>
  </si>
  <si>
    <t>Metric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</si>
  <si>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</si>
  <si>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</si>
  <si>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</si>
  <si>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</si>
  <si>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</si>
  <si>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</si>
  <si>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</si>
  <si>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</si>
  <si>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</si>
  <si>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</si>
  <si>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</si>
  <si>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</si>
  <si>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</si>
  <si>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</si>
  <si>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</si>
  <si>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</si>
  <si>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</si>
  <si>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</si>
  <si>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</si>
  <si>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</si>
  <si>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</si>
  <si>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</si>
  <si>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</si>
  <si>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</si>
  <si>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</si>
  <si>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</si>
  <si>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</si>
  <si>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</si>
  <si>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</si>
  <si>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</si>
  <si>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</si>
  <si>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</si>
  <si>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</si>
  <si>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</si>
  <si>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</si>
  <si>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SMB SEGMENT</t>
  </si>
  <si>
    <t xml:space="preserve">  New Free SMB Users (Month Prior)</t>
  </si>
  <si>
    <t xml:space="preserve">  New SMB Customers</t>
  </si>
  <si>
    <t xml:space="preserve">  Active SMB Customers</t>
  </si>
  <si>
    <t xml:space="preserve">  SMB MRR</t>
  </si>
  <si>
    <t xml:space="preserve">  SMB ARR (MRR x 12)</t>
  </si>
  <si>
    <t>MID-MARKET SEGMENT</t>
  </si>
  <si>
    <t xml:space="preserve">  New Free Mid-Market Users (Month Prior)</t>
  </si>
  <si>
    <t xml:space="preserve">  New Mid-Market Customers</t>
  </si>
  <si>
    <t xml:space="preserve">  Active Mid-Market Customers</t>
  </si>
  <si>
    <t xml:space="preserve">  Mid-Market MRR</t>
  </si>
  <si>
    <t xml:space="preserve">  Mid-Market ARR (MRR x 12)</t>
  </si>
  <si>
    <t>ENTERPRISE SEGMENT</t>
  </si>
  <si>
    <t xml:space="preserve">  New Free Enterprise Users (Month Prior)</t>
  </si>
  <si>
    <t xml:space="preserve">  New Enterprise Customers</t>
  </si>
  <si>
    <t xml:space="preserve">  Active Enterprise Customers</t>
  </si>
  <si>
    <t xml:space="preserve">  Enterprise MRR</t>
  </si>
  <si>
    <t xml:space="preserve">  Enterprise ARR (MRR x 12)</t>
  </si>
  <si>
    <t>TOTAL METRICS</t>
  </si>
  <si>
    <t xml:space="preserve">  Total Active Paid Customers</t>
  </si>
  <si>
    <t xml:space="preserve">  Total MRR</t>
  </si>
  <si>
    <t xml:space="preserve">  Total ARR (MRR x 12)</t>
  </si>
  <si>
    <t xml:space="preserve">  Cumulative Revenue</t>
  </si>
  <si>
    <t>HELM - 12 Month Bookings Model</t>
  </si>
  <si>
    <t>Average ACV Per Offering</t>
  </si>
  <si>
    <t>MINE</t>
  </si>
  <si>
    <t>DESIGN</t>
  </si>
  <si>
    <t>MANAGE</t>
  </si>
  <si>
    <t>1-Time</t>
  </si>
  <si>
    <t>Conversion Rates</t>
  </si>
  <si>
    <t>MINE -&gt; DESIGN</t>
  </si>
  <si>
    <t>DESIGN -&gt; MANAGE</t>
  </si>
  <si>
    <t>EXPLORE -&gt; MINE</t>
  </si>
  <si>
    <t>Offering</t>
  </si>
  <si>
    <t>New Customers</t>
  </si>
  <si>
    <t>Cumulative Customers</t>
  </si>
  <si>
    <t>Bookings</t>
  </si>
  <si>
    <t>EXPLORE</t>
  </si>
  <si>
    <t>Assumptions</t>
  </si>
  <si>
    <t>ARR</t>
  </si>
  <si>
    <t>Cycle</t>
  </si>
  <si>
    <t>Product Collections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</si>
</sst>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,\K"/>
    <numFmt numFmtId="167" formatCode="#,##0.0"/>
  </numFmts>
  <fonts count="1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i/>
      <sz val="11"/>
      <color rgb="FF999999"/>
      <name val="Calibri"/>
      <family val="2"/>
    </font>
    <font>
      <b/>
      <i/>
      <sz val="11"/>
      <name val="Calibri"/>
      <family val="2"/>
    </font>
    <font>
      <sz val="11"/>
      <name val="Calibri"/>
      <family val="2"/>
    </font>
    <font>
      <sz val="11"/>
      <color theme="3"/>
      <name val="Calibri (Body)"/>
    </font>
    <font>
      <b/>
      <sz val="12"/>
      <name val="Calibri (Body)"/>
    </font>
    <font>
      <sz val="11"/>
      <name val="Calibri (Body)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D9F2D9"/>
      </patternFill>
    </fill>
    <fill>
      <patternFill patternType="solid">
        <fgColor rgb="FFD9E1F2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10" fontId="4" fillId="0" borderId="0" xfId="0" applyNumberFormat="1" applyFont="1"/>
    <xf numFmtId="165" fontId="4" fillId="0" borderId="0" xfId="0" applyNumberFormat="1" applyFont="1"/>
    <xf numFmtId="0" fontId="6" fillId="4" borderId="0" xfId="0" applyFont="1" applyFill="1" applyAlignment="1">
      <alignment horizontal="center" wrapText="1"/>
    </xf>
    <xf numFmtId="3" fontId="0" fillId="0" borderId="0" xfId="0" applyNumberFormat="1"/>
    <xf numFmtId="3" fontId="3" fillId="5" borderId="0" xfId="0" applyNumberFormat="1" applyFont="1" applyFill="1"/>
    <xf numFmtId="3" fontId="3" fillId="6" borderId="0" xfId="0" applyNumberFormat="1" applyFont="1" applyFill="1"/>
    <xf numFmtId="3" fontId="4" fillId="0" borderId="0" xfId="0" applyNumberFormat="1" applyFont="1"/>
    <xf numFmtId="164" fontId="0" fillId="0" borderId="0" xfId="0" applyNumberFormat="1"/>
    <xf numFmtId="164" fontId="3" fillId="5" borderId="0" xfId="0" applyNumberFormat="1" applyFont="1" applyFill="1"/>
    <xf numFmtId="164" fontId="3" fillId="6" borderId="0" xfId="0" applyNumberFormat="1" applyFont="1" applyFill="1"/>
    <xf numFmtId="164" fontId="3" fillId="7" borderId="0" xfId="0" applyNumberFormat="1" applyFont="1" applyFill="1"/>
    <xf numFmtId="3" fontId="8" fillId="0" borderId="0" xfId="0" applyNumberFormat="1" applyFont="1"/>
    <xf numFmtId="3" fontId="3" fillId="0" borderId="0" xfId="0" applyNumberFormat="1" applyFont="1"/>
    <xf numFmtId="164" fontId="9" fillId="8" borderId="0" xfId="0" applyNumberFormat="1" applyFont="1" applyFill="1"/>
    <xf numFmtId="0" fontId="0" fillId="0" borderId="2" xfId="0" applyBorder="1"/>
    <xf numFmtId="3" fontId="3" fillId="5" borderId="2" xfId="0" applyNumberFormat="1" applyFont="1" applyFill="1" applyBorder="1"/>
    <xf numFmtId="3" fontId="0" fillId="0" borderId="2" xfId="0" applyNumberFormat="1" applyBorder="1"/>
    <xf numFmtId="164" fontId="3" fillId="5" borderId="2" xfId="0" applyNumberFormat="1" applyFont="1" applyFill="1" applyBorder="1"/>
    <xf numFmtId="164" fontId="3" fillId="7" borderId="2" xfId="0" applyNumberFormat="1" applyFont="1" applyFill="1" applyBorder="1"/>
    <xf numFmtId="3" fontId="3" fillId="0" borderId="2" xfId="0" applyNumberFormat="1" applyFont="1" applyBorder="1"/>
    <xf numFmtId="164" fontId="3" fillId="6" borderId="2" xfId="0" applyNumberFormat="1" applyFont="1" applyFill="1" applyBorder="1"/>
    <xf numFmtId="164" fontId="3" fillId="5" borderId="3" xfId="0" applyNumberFormat="1" applyFont="1" applyFill="1" applyBorder="1"/>
    <xf numFmtId="0" fontId="0" fillId="0" borderId="4" xfId="0" applyBorder="1"/>
    <xf numFmtId="0" fontId="0" fillId="0" borderId="5" xfId="0" applyBorder="1"/>
    <xf numFmtId="3" fontId="0" fillId="0" borderId="4" xfId="0" applyNumberFormat="1" applyBorder="1"/>
    <xf numFmtId="3" fontId="0" fillId="0" borderId="5" xfId="0" applyNumberFormat="1" applyBorder="1"/>
    <xf numFmtId="3" fontId="4" fillId="0" borderId="4" xfId="0" applyNumberFormat="1" applyFont="1" applyBorder="1"/>
    <xf numFmtId="3" fontId="4" fillId="0" borderId="5" xfId="0" applyNumberFormat="1" applyFont="1" applyBorder="1"/>
    <xf numFmtId="164" fontId="0" fillId="0" borderId="4" xfId="0" applyNumberFormat="1" applyBorder="1"/>
    <xf numFmtId="164" fontId="0" fillId="0" borderId="5" xfId="0" applyNumberFormat="1" applyBorder="1"/>
    <xf numFmtId="164" fontId="3" fillId="7" borderId="4" xfId="0" applyNumberFormat="1" applyFont="1" applyFill="1" applyBorder="1"/>
    <xf numFmtId="164" fontId="3" fillId="7" borderId="5" xfId="0" applyNumberFormat="1" applyFont="1" applyFill="1" applyBorder="1"/>
    <xf numFmtId="3" fontId="8" fillId="0" borderId="4" xfId="0" applyNumberFormat="1" applyFont="1" applyBorder="1"/>
    <xf numFmtId="3" fontId="8" fillId="0" borderId="5" xfId="0" applyNumberFormat="1" applyFont="1" applyBorder="1"/>
    <xf numFmtId="3" fontId="3" fillId="0" borderId="4" xfId="0" applyNumberFormat="1" applyFont="1" applyBorder="1"/>
    <xf numFmtId="3" fontId="3" fillId="0" borderId="5" xfId="0" applyNumberFormat="1" applyFont="1" applyBorder="1"/>
    <xf numFmtId="164" fontId="3" fillId="5" borderId="4" xfId="0" applyNumberFormat="1" applyFont="1" applyFill="1" applyBorder="1"/>
    <xf numFmtId="164" fontId="3" fillId="5" borderId="5" xfId="0" applyNumberFormat="1" applyFont="1" applyFill="1" applyBorder="1"/>
    <xf numFmtId="164" fontId="3" fillId="6" borderId="4" xfId="0" applyNumberFormat="1" applyFont="1" applyFill="1" applyBorder="1"/>
    <xf numFmtId="164" fontId="3" fillId="6" borderId="5" xfId="0" applyNumberFormat="1" applyFont="1" applyFill="1" applyBorder="1"/>
    <xf numFmtId="164" fontId="9" fillId="8" borderId="6" xfId="0" applyNumberFormat="1" applyFont="1" applyFill="1" applyBorder="1"/>
    <xf numFmtId="164" fontId="9" fillId="8" borderId="7" xfId="0" applyNumberFormat="1" applyFont="1" applyFill="1" applyBorder="1"/>
    <xf numFmtId="164" fontId="9" fillId="8" borderId="8" xfId="0" applyNumberFormat="1" applyFont="1" applyFill="1" applyBorder="1"/>
    <xf numFmtId="0" fontId="7" fillId="3" borderId="2" xfId="0" applyFont="1" applyFill="1" applyBorder="1"/>
    <xf numFmtId="0" fontId="3" fillId="0" borderId="2" xfId="0" applyFont="1" applyBorder="1"/>
    <xf numFmtId="0" fontId="7" fillId="2" borderId="2" xfId="0" applyFont="1" applyFill="1" applyBorder="1"/>
    <xf numFmtId="0" fontId="9" fillId="0" borderId="3" xfId="0" applyFont="1" applyBorder="1"/>
    <xf numFmtId="0" fontId="6" fillId="9" borderId="1" xfId="0" applyFont="1" applyFill="1" applyBorder="1"/>
    <xf numFmtId="0" fontId="6" fillId="9" borderId="9" xfId="0" applyFont="1" applyFill="1" applyBorder="1" applyAlignment="1">
      <alignment horizontal="center" textRotation="90"/>
    </xf>
    <xf numFmtId="0" fontId="6" fillId="9" borderId="10" xfId="0" applyFont="1" applyFill="1" applyBorder="1" applyAlignment="1">
      <alignment horizontal="center" textRotation="90"/>
    </xf>
    <xf numFmtId="0" fontId="6" fillId="9" borderId="11" xfId="0" applyFont="1" applyFill="1" applyBorder="1" applyAlignment="1">
      <alignment horizontal="center" textRotation="90"/>
    </xf>
    <xf numFmtId="0" fontId="6" fillId="3" borderId="10" xfId="0" applyFont="1" applyFill="1" applyBorder="1" applyAlignment="1">
      <alignment horizontal="center" textRotation="90"/>
    </xf>
    <xf numFmtId="0" fontId="6" fillId="4" borderId="10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2" fillId="2" borderId="0" xfId="0" applyFont="1" applyFill="1"/>
    <xf numFmtId="0" fontId="6" fillId="9" borderId="9" xfId="0" applyFont="1" applyFill="1" applyBorder="1"/>
    <xf numFmtId="0" fontId="0" fillId="0" borderId="4" xfId="0" applyBorder="1" applyAlignment="1">
      <alignment horizontal="left" indent="1"/>
    </xf>
    <xf numFmtId="0" fontId="3" fillId="0" borderId="4" xfId="0" applyFont="1" applyBorder="1"/>
    <xf numFmtId="0" fontId="9" fillId="0" borderId="6" xfId="0" applyFont="1" applyBorder="1"/>
    <xf numFmtId="0" fontId="6" fillId="9" borderId="11" xfId="0" applyFont="1" applyFill="1" applyBorder="1"/>
    <xf numFmtId="0" fontId="0" fillId="0" borderId="5" xfId="0" applyBorder="1" applyAlignment="1">
      <alignment horizontal="left" indent="1"/>
    </xf>
    <xf numFmtId="0" fontId="7" fillId="0" borderId="4" xfId="0" applyFont="1" applyBorder="1"/>
    <xf numFmtId="0" fontId="7" fillId="0" borderId="5" xfId="0" applyFont="1" applyBorder="1"/>
    <xf numFmtId="0" fontId="6" fillId="3" borderId="9" xfId="0" applyFont="1" applyFill="1" applyBorder="1" applyAlignment="1">
      <alignment horizontal="center" textRotation="90"/>
    </xf>
    <xf numFmtId="0" fontId="6" fillId="3" borderId="11" xfId="0" applyFont="1" applyFill="1" applyBorder="1" applyAlignment="1">
      <alignment horizontal="center" textRotation="90"/>
    </xf>
    <xf numFmtId="0" fontId="6" fillId="4" borderId="9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6" fillId="4" borderId="12" xfId="0" applyFont="1" applyFill="1" applyBorder="1" applyAlignment="1">
      <alignment horizontal="center" wrapText="1"/>
    </xf>
    <xf numFmtId="0" fontId="6" fillId="4" borderId="13" xfId="0" applyFont="1" applyFill="1" applyBorder="1" applyAlignment="1">
      <alignment horizont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3" fontId="10" fillId="0" borderId="4" xfId="0" applyNumberFormat="1" applyFont="1" applyBorder="1"/>
    <xf numFmtId="3" fontId="10" fillId="0" borderId="5" xfId="0" applyNumberFormat="1" applyFont="1" applyBorder="1"/>
    <xf numFmtId="3" fontId="10" fillId="0" borderId="0" xfId="0" applyNumberFormat="1" applyFont="1"/>
    <xf numFmtId="0" fontId="12" fillId="10" borderId="4" xfId="0" applyFont="1" applyFill="1" applyBorder="1"/>
    <xf numFmtId="0" fontId="12" fillId="10" borderId="5" xfId="0" applyFont="1" applyFill="1" applyBorder="1"/>
    <xf numFmtId="0" fontId="13" fillId="10" borderId="0" xfId="0" applyFont="1" applyFill="1"/>
    <xf numFmtId="0" fontId="0" fillId="10" borderId="4" xfId="0" applyFill="1" applyBorder="1"/>
    <xf numFmtId="0" fontId="0" fillId="10" borderId="5" xfId="0" applyFill="1" applyBorder="1"/>
    <xf numFmtId="0" fontId="0" fillId="10" borderId="0" xfId="0" applyFill="1"/>
    <xf numFmtId="0" fontId="0" fillId="10" borderId="2" xfId="0" applyFill="1" applyBorder="1"/>
    <xf numFmtId="0" fontId="14" fillId="10" borderId="4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164" fontId="11" fillId="0" borderId="0" xfId="0" applyNumberFormat="1" applyFont="1"/>
    <xf numFmtId="0" fontId="5" fillId="0" borderId="0" xfId="0" applyFont="1" applyAlignment="1">
      <alignment horizontal="left" indent="1"/>
    </xf>
    <xf numFmtId="0" fontId="11" fillId="0" borderId="0" xfId="0" applyFont="1"/>
    <xf numFmtId="0" fontId="10" fillId="0" borderId="4" xfId="0" applyFont="1" applyBorder="1" applyAlignment="1">
      <alignment horizontal="left" indent="1"/>
    </xf>
    <xf numFmtId="9" fontId="11" fillId="0" borderId="0" xfId="0" applyNumberFormat="1" applyFont="1"/>
    <xf numFmtId="0" fontId="5" fillId="0" borderId="5" xfId="0" applyFont="1" applyBorder="1"/>
    <xf numFmtId="0" fontId="0" fillId="0" borderId="6" xfId="0" applyBorder="1" applyAlignment="1">
      <alignment horizontal="left" indent="1"/>
    </xf>
    <xf numFmtId="9" fontId="11" fillId="0" borderId="7" xfId="0" applyNumberFormat="1" applyFont="1" applyBorder="1"/>
    <xf numFmtId="0" fontId="0" fillId="0" borderId="7" xfId="0" applyBorder="1"/>
    <xf numFmtId="0" fontId="0" fillId="0" borderId="8" xfId="0" applyBorder="1"/>
    <xf numFmtId="0" fontId="3" fillId="0" borderId="5" xfId="0" applyFont="1" applyBorder="1"/>
    <xf numFmtId="0" fontId="9" fillId="0" borderId="8" xfId="0" applyFont="1" applyBorder="1"/>
    <xf numFmtId="166" fontId="10" fillId="0" borderId="4" xfId="0" applyNumberFormat="1" applyFont="1" applyBorder="1"/>
    <xf numFmtId="166" fontId="10" fillId="0" borderId="5" xfId="0" applyNumberFormat="1" applyFont="1" applyBorder="1"/>
    <xf numFmtId="166" fontId="10" fillId="0" borderId="0" xfId="0" applyNumberFormat="1" applyFont="1"/>
    <xf numFmtId="166" fontId="0" fillId="0" borderId="4" xfId="0" applyNumberFormat="1" applyBorder="1"/>
    <xf numFmtId="166" fontId="0" fillId="0" borderId="0" xfId="0" applyNumberFormat="1"/>
    <xf numFmtId="166" fontId="0" fillId="0" borderId="5" xfId="0" applyNumberFormat="1" applyBorder="1"/>
    <xf numFmtId="166" fontId="10" fillId="0" borderId="2" xfId="0" applyNumberFormat="1" applyFont="1" applyBorder="1"/>
    <xf numFmtId="166" fontId="10" fillId="0" borderId="6" xfId="0" applyNumberFormat="1" applyFont="1" applyBorder="1"/>
    <xf numFmtId="166" fontId="10" fillId="0" borderId="7" xfId="0" applyNumberFormat="1" applyFont="1" applyBorder="1"/>
    <xf numFmtId="166" fontId="10" fillId="0" borderId="8" xfId="0" applyNumberFormat="1" applyFont="1" applyBorder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10" fillId="0" borderId="3" xfId="0" applyNumberFormat="1" applyFont="1" applyBorder="1"/>
    <xf numFmtId="166" fontId="10" fillId="10" borderId="4" xfId="0" applyNumberFormat="1" applyFont="1" applyFill="1" applyBorder="1"/>
    <xf numFmtId="166" fontId="10" fillId="10" borderId="0" xfId="0" applyNumberFormat="1" applyFont="1" applyFill="1"/>
    <xf numFmtId="166" fontId="10" fillId="10" borderId="5" xfId="0" applyNumberFormat="1" applyFont="1" applyFill="1" applyBorder="1"/>
    <xf numFmtId="166" fontId="0" fillId="10" borderId="4" xfId="0" applyNumberFormat="1" applyFill="1" applyBorder="1"/>
    <xf numFmtId="166" fontId="0" fillId="10" borderId="0" xfId="0" applyNumberFormat="1" applyFill="1"/>
    <xf numFmtId="166" fontId="0" fillId="10" borderId="5" xfId="0" applyNumberFormat="1" applyFill="1" applyBorder="1"/>
    <xf numFmtId="166" fontId="10" fillId="10" borderId="2" xfId="0" applyNumberFormat="1" applyFont="1" applyFill="1" applyBorder="1"/>
    <xf numFmtId="166" fontId="15" fillId="11" borderId="2" xfId="0" applyNumberFormat="1" applyFont="1" applyFill="1" applyBorder="1"/>
    <xf numFmtId="3" fontId="15" fillId="11" borderId="2" xfId="0" applyNumberFormat="1" applyFont="1" applyFill="1" applyBorder="1"/>
    <xf numFmtId="167" fontId="0" fillId="0" borderId="5" xfId="0" applyNumberFormat="1" applyBorder="1"/>
    <xf numFmtId="167" fontId="0" fillId="0" borderId="4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3FAC-74ED-4F46-BFEA-BD1B4BCD94CC}">
  <dimension ref="B1:AN36"/>
  <sheetViews>
    <sheetView tabSelected="1" zoomScale="152" zoomScaleNormal="152" workbookViewId="0">
      <selection activeCell="F25" sqref="F25"/>
    </sheetView>
  </sheetViews>
  <sheetFormatPr baseColWidth="10" defaultColWidth="8.83203125" defaultRowHeight="15" outlineLevelRow="1" outlineLevelCol="2" x14ac:dyDescent="0.2"/>
  <cols>
    <col min="2" max="2" width="17.1640625" customWidth="1"/>
    <col min="3" max="3" width="7.83203125" customWidth="1"/>
    <col min="4" max="15" width="5.1640625" customWidth="1"/>
    <col min="16" max="24" width="5.1640625" customWidth="1" outlineLevel="1" collapsed="1"/>
    <col min="25" max="25" width="6" customWidth="1" outlineLevel="1" collapsed="1"/>
    <col min="26" max="26" width="5.83203125" customWidth="1" outlineLevel="1" collapsed="1"/>
    <col min="27" max="27" width="6" customWidth="1" outlineLevel="1" collapsed="1"/>
    <col min="28" max="28" width="5.83203125" customWidth="1"/>
    <col min="29" max="30" width="5.1640625" customWidth="1"/>
    <col min="31" max="31" width="6.1640625" customWidth="1"/>
    <col min="32" max="32" width="7" customWidth="1"/>
    <col min="33" max="37" width="6.1640625" hidden="1" customWidth="1" outlineLevel="2"/>
    <col min="38" max="38" width="7" hidden="1" customWidth="1" outlineLevel="2"/>
    <col min="39" max="39" width="8.83203125" collapsed="1"/>
  </cols>
  <sheetData>
    <row r="1" spans="2:38" ht="21" x14ac:dyDescent="0.25">
      <c r="B1" s="126" t="s">
        <v>83</v>
      </c>
      <c r="C1" s="126"/>
      <c r="D1" s="126"/>
      <c r="E1" s="126"/>
      <c r="F1" s="126"/>
      <c r="G1" s="126"/>
    </row>
    <row r="2" spans="2:38" ht="16" thickBot="1" x14ac:dyDescent="0.25"/>
    <row r="3" spans="2:38" ht="19" x14ac:dyDescent="0.25">
      <c r="B3" s="86" t="s">
        <v>98</v>
      </c>
      <c r="C3" s="87"/>
      <c r="D3" s="87"/>
      <c r="E3" s="88"/>
    </row>
    <row r="4" spans="2:38" x14ac:dyDescent="0.2">
      <c r="B4" s="61" t="s">
        <v>84</v>
      </c>
      <c r="C4" s="1"/>
      <c r="E4" s="27"/>
    </row>
    <row r="5" spans="2:38" x14ac:dyDescent="0.2">
      <c r="B5" s="60" t="s">
        <v>85</v>
      </c>
      <c r="C5" s="89">
        <v>20000</v>
      </c>
      <c r="D5" s="90" t="s">
        <v>88</v>
      </c>
      <c r="E5" s="27"/>
    </row>
    <row r="6" spans="2:38" x14ac:dyDescent="0.2">
      <c r="B6" s="60" t="s">
        <v>86</v>
      </c>
      <c r="C6" s="89">
        <v>20000</v>
      </c>
      <c r="D6" s="90" t="s">
        <v>88</v>
      </c>
      <c r="E6" s="27"/>
    </row>
    <row r="7" spans="2:38" x14ac:dyDescent="0.2">
      <c r="B7" s="60" t="s">
        <v>87</v>
      </c>
      <c r="C7" s="89">
        <v>80000</v>
      </c>
      <c r="D7" s="90" t="s">
        <v>99</v>
      </c>
      <c r="E7" s="27"/>
    </row>
    <row r="8" spans="2:38" outlineLevel="1" x14ac:dyDescent="0.2">
      <c r="B8" s="26"/>
      <c r="C8" s="91"/>
      <c r="E8" s="27"/>
    </row>
    <row r="9" spans="2:38" x14ac:dyDescent="0.2">
      <c r="B9" s="61" t="s">
        <v>89</v>
      </c>
      <c r="C9" s="91"/>
      <c r="D9" s="90" t="s">
        <v>100</v>
      </c>
      <c r="E9" s="27"/>
    </row>
    <row r="10" spans="2:38" x14ac:dyDescent="0.2">
      <c r="B10" s="92" t="s">
        <v>92</v>
      </c>
      <c r="C10" s="93">
        <v>0.1</v>
      </c>
      <c r="D10">
        <v>30</v>
      </c>
      <c r="E10" s="27"/>
    </row>
    <row r="11" spans="2:38" x14ac:dyDescent="0.2">
      <c r="B11" s="60" t="s">
        <v>90</v>
      </c>
      <c r="C11" s="93">
        <v>0.5</v>
      </c>
      <c r="D11">
        <v>30</v>
      </c>
      <c r="E11" s="94"/>
    </row>
    <row r="12" spans="2:38" ht="16" thickBot="1" x14ac:dyDescent="0.25">
      <c r="B12" s="95" t="s">
        <v>91</v>
      </c>
      <c r="C12" s="96">
        <v>0.5</v>
      </c>
      <c r="D12" s="97">
        <v>60</v>
      </c>
      <c r="E12" s="98"/>
    </row>
    <row r="13" spans="2:38" ht="16" thickBot="1" x14ac:dyDescent="0.25"/>
    <row r="14" spans="2:38" ht="43" thickBot="1" x14ac:dyDescent="0.25">
      <c r="B14" s="59" t="s">
        <v>93</v>
      </c>
      <c r="C14" s="63"/>
      <c r="D14" s="52" t="s">
        <v>25</v>
      </c>
      <c r="E14" s="53" t="s">
        <v>26</v>
      </c>
      <c r="F14" s="54" t="s">
        <v>27</v>
      </c>
      <c r="G14" s="52" t="s">
        <v>28</v>
      </c>
      <c r="H14" s="53" t="s">
        <v>29</v>
      </c>
      <c r="I14" s="54" t="s">
        <v>30</v>
      </c>
      <c r="J14" s="52" t="s">
        <v>31</v>
      </c>
      <c r="K14" s="53" t="s">
        <v>32</v>
      </c>
      <c r="L14" s="54" t="s">
        <v>33</v>
      </c>
      <c r="M14" s="53" t="s">
        <v>34</v>
      </c>
      <c r="N14" s="53" t="s">
        <v>35</v>
      </c>
      <c r="O14" s="54" t="s">
        <v>36</v>
      </c>
      <c r="P14" s="67" t="s">
        <v>37</v>
      </c>
      <c r="Q14" s="55" t="s">
        <v>38</v>
      </c>
      <c r="R14" s="55" t="s">
        <v>39</v>
      </c>
      <c r="S14" s="55" t="s">
        <v>40</v>
      </c>
      <c r="T14" s="55" t="s">
        <v>41</v>
      </c>
      <c r="U14" s="55" t="s">
        <v>42</v>
      </c>
      <c r="V14" s="55" t="s">
        <v>43</v>
      </c>
      <c r="W14" s="55" t="s">
        <v>44</v>
      </c>
      <c r="X14" s="55" t="s">
        <v>45</v>
      </c>
      <c r="Y14" s="55" t="s">
        <v>46</v>
      </c>
      <c r="Z14" s="55" t="s">
        <v>47</v>
      </c>
      <c r="AA14" s="68" t="s">
        <v>48</v>
      </c>
      <c r="AB14" s="69" t="s">
        <v>49</v>
      </c>
      <c r="AC14" s="56" t="s">
        <v>50</v>
      </c>
      <c r="AD14" s="56" t="s">
        <v>51</v>
      </c>
      <c r="AE14" s="70" t="s">
        <v>52</v>
      </c>
      <c r="AF14" s="57" t="s">
        <v>53</v>
      </c>
      <c r="AG14" s="71" t="s">
        <v>54</v>
      </c>
      <c r="AH14" s="72" t="s">
        <v>55</v>
      </c>
      <c r="AI14" s="72" t="s">
        <v>56</v>
      </c>
      <c r="AJ14" s="73" t="s">
        <v>57</v>
      </c>
      <c r="AK14" s="74" t="s">
        <v>58</v>
      </c>
      <c r="AL14" s="74" t="s">
        <v>59</v>
      </c>
    </row>
    <row r="15" spans="2:38" s="83" customFormat="1" x14ac:dyDescent="0.2">
      <c r="B15" s="85" t="s">
        <v>94</v>
      </c>
      <c r="C15" s="82"/>
      <c r="D15" s="81"/>
      <c r="F15" s="82"/>
      <c r="G15" s="81"/>
      <c r="I15" s="82"/>
      <c r="J15" s="81"/>
      <c r="L15" s="82"/>
      <c r="O15" s="82"/>
      <c r="P15" s="81"/>
      <c r="AA15" s="82"/>
      <c r="AB15" s="81"/>
      <c r="AE15" s="82"/>
      <c r="AF15" s="84"/>
      <c r="AG15" s="81"/>
      <c r="AJ15" s="82"/>
      <c r="AK15" s="84"/>
      <c r="AL15" s="84"/>
    </row>
    <row r="16" spans="2:38" x14ac:dyDescent="0.2">
      <c r="B16" s="60" t="s">
        <v>97</v>
      </c>
      <c r="C16" s="64"/>
      <c r="D16" s="28">
        <f>E17/$C10</f>
        <v>0</v>
      </c>
      <c r="E16" s="7">
        <f t="shared" ref="E16:AA16" si="0">F17/$C10</f>
        <v>10</v>
      </c>
      <c r="F16" s="29">
        <f t="shared" si="0"/>
        <v>10</v>
      </c>
      <c r="G16" s="28">
        <f t="shared" si="0"/>
        <v>20</v>
      </c>
      <c r="H16" s="7">
        <f t="shared" si="0"/>
        <v>20</v>
      </c>
      <c r="I16" s="29">
        <f t="shared" si="0"/>
        <v>30</v>
      </c>
      <c r="J16" s="28">
        <f t="shared" si="0"/>
        <v>30</v>
      </c>
      <c r="K16" s="7">
        <f t="shared" si="0"/>
        <v>30</v>
      </c>
      <c r="L16" s="29">
        <f t="shared" si="0"/>
        <v>30</v>
      </c>
      <c r="M16" s="7">
        <f t="shared" si="0"/>
        <v>40</v>
      </c>
      <c r="N16" s="7">
        <f t="shared" si="0"/>
        <v>40</v>
      </c>
      <c r="O16" s="29">
        <f t="shared" si="0"/>
        <v>110</v>
      </c>
      <c r="P16" s="28">
        <f t="shared" si="0"/>
        <v>120</v>
      </c>
      <c r="Q16" s="7">
        <f t="shared" si="0"/>
        <v>130</v>
      </c>
      <c r="R16" s="7">
        <f t="shared" si="0"/>
        <v>140</v>
      </c>
      <c r="S16" s="7">
        <f t="shared" si="0"/>
        <v>150</v>
      </c>
      <c r="T16" s="7">
        <f t="shared" si="0"/>
        <v>160</v>
      </c>
      <c r="U16" s="7">
        <f t="shared" si="0"/>
        <v>170</v>
      </c>
      <c r="V16" s="7">
        <f t="shared" si="0"/>
        <v>180</v>
      </c>
      <c r="W16" s="7">
        <f t="shared" si="0"/>
        <v>190</v>
      </c>
      <c r="X16" s="7">
        <f t="shared" si="0"/>
        <v>200</v>
      </c>
      <c r="Y16" s="7">
        <f t="shared" si="0"/>
        <v>210</v>
      </c>
      <c r="Z16" s="7">
        <f t="shared" si="0"/>
        <v>220</v>
      </c>
      <c r="AA16" s="29">
        <f t="shared" si="0"/>
        <v>10</v>
      </c>
      <c r="AB16" s="28">
        <f>SUM(D16:F16)</f>
        <v>20</v>
      </c>
      <c r="AC16" s="7">
        <f>SUM(G16:I16)</f>
        <v>70</v>
      </c>
      <c r="AD16" s="7">
        <f>SUM(J16:L16)</f>
        <v>90</v>
      </c>
      <c r="AE16" s="29">
        <f>SUM(M16:O16)</f>
        <v>190</v>
      </c>
      <c r="AF16" s="23">
        <f>SUM(AB16:AE16)</f>
        <v>370</v>
      </c>
      <c r="AG16" s="28">
        <f>SUM(P16:R16)</f>
        <v>390</v>
      </c>
      <c r="AH16" s="7">
        <f>SUM(S16:U16)</f>
        <v>480</v>
      </c>
      <c r="AI16" s="7">
        <f>SUM(V16:X16)</f>
        <v>570</v>
      </c>
      <c r="AJ16" s="29">
        <f>SUM(Y16:AA16)</f>
        <v>440</v>
      </c>
      <c r="AK16" s="23">
        <f>SUM(AG16:AJ16)</f>
        <v>1880</v>
      </c>
      <c r="AL16" s="23">
        <f>AF16+AK16</f>
        <v>2250</v>
      </c>
    </row>
    <row r="17" spans="2:40" x14ac:dyDescent="0.2">
      <c r="B17" s="60" t="s">
        <v>85</v>
      </c>
      <c r="C17" s="64"/>
      <c r="D17" s="75">
        <v>0</v>
      </c>
      <c r="E17" s="77">
        <v>0</v>
      </c>
      <c r="F17" s="76">
        <v>1</v>
      </c>
      <c r="G17" s="75">
        <v>1</v>
      </c>
      <c r="H17" s="77">
        <v>2</v>
      </c>
      <c r="I17" s="76">
        <v>2</v>
      </c>
      <c r="J17" s="75">
        <v>3</v>
      </c>
      <c r="K17" s="77">
        <v>3</v>
      </c>
      <c r="L17" s="76">
        <v>3</v>
      </c>
      <c r="M17" s="77">
        <v>3</v>
      </c>
      <c r="N17" s="77">
        <v>4</v>
      </c>
      <c r="O17" s="76">
        <v>4</v>
      </c>
      <c r="P17" s="75">
        <v>11</v>
      </c>
      <c r="Q17" s="77">
        <v>12</v>
      </c>
      <c r="R17" s="77">
        <v>13</v>
      </c>
      <c r="S17" s="77">
        <v>14</v>
      </c>
      <c r="T17" s="77">
        <v>15</v>
      </c>
      <c r="U17" s="77">
        <v>16</v>
      </c>
      <c r="V17" s="77">
        <v>17</v>
      </c>
      <c r="W17" s="77">
        <v>18</v>
      </c>
      <c r="X17" s="77">
        <v>19</v>
      </c>
      <c r="Y17" s="77">
        <v>20</v>
      </c>
      <c r="Z17" s="77">
        <v>21</v>
      </c>
      <c r="AA17" s="76">
        <v>22</v>
      </c>
      <c r="AB17" s="28">
        <f>SUM(D17:F17)</f>
        <v>1</v>
      </c>
      <c r="AC17" s="7">
        <f>SUM(G17:I17)</f>
        <v>5</v>
      </c>
      <c r="AD17" s="7">
        <f>SUM(J17:L17)</f>
        <v>9</v>
      </c>
      <c r="AE17" s="29">
        <f>SUM(M17:O17)</f>
        <v>11</v>
      </c>
      <c r="AF17" s="123">
        <f>SUM(AB17:AE17)</f>
        <v>26</v>
      </c>
      <c r="AG17" s="28">
        <f>SUM(P17:R17)</f>
        <v>36</v>
      </c>
      <c r="AH17" s="7">
        <f>SUM(S17:U17)</f>
        <v>45</v>
      </c>
      <c r="AI17" s="7">
        <f>SUM(V17:X17)</f>
        <v>54</v>
      </c>
      <c r="AJ17" s="29">
        <f>SUM(Y17:AA17)</f>
        <v>63</v>
      </c>
      <c r="AK17" s="23">
        <f>SUM(AG17:AJ17)</f>
        <v>198</v>
      </c>
      <c r="AL17" s="23">
        <f>AF17+AK17</f>
        <v>224</v>
      </c>
      <c r="AN17">
        <f>AF27/AF17</f>
        <v>40000</v>
      </c>
    </row>
    <row r="18" spans="2:40" x14ac:dyDescent="0.2">
      <c r="B18" s="60" t="s">
        <v>86</v>
      </c>
      <c r="C18" s="64"/>
      <c r="D18" s="28">
        <f>$C$11*D17</f>
        <v>0</v>
      </c>
      <c r="E18" s="7">
        <f>$C$11*E17</f>
        <v>0</v>
      </c>
      <c r="F18" s="124">
        <f>$C$11*E17</f>
        <v>0</v>
      </c>
      <c r="G18" s="125">
        <f>$C$11*F17</f>
        <v>0.5</v>
      </c>
      <c r="H18" s="7">
        <f t="shared" ref="H18:AA18" si="1">$C$11*G17</f>
        <v>0.5</v>
      </c>
      <c r="I18" s="29">
        <f t="shared" si="1"/>
        <v>1</v>
      </c>
      <c r="J18" s="28">
        <f t="shared" si="1"/>
        <v>1</v>
      </c>
      <c r="K18" s="7">
        <f t="shared" si="1"/>
        <v>1.5</v>
      </c>
      <c r="L18" s="29">
        <f t="shared" si="1"/>
        <v>1.5</v>
      </c>
      <c r="M18" s="7">
        <f t="shared" si="1"/>
        <v>1.5</v>
      </c>
      <c r="N18" s="7">
        <f t="shared" si="1"/>
        <v>1.5</v>
      </c>
      <c r="O18" s="29">
        <f t="shared" si="1"/>
        <v>2</v>
      </c>
      <c r="P18" s="28">
        <f t="shared" si="1"/>
        <v>2</v>
      </c>
      <c r="Q18" s="7">
        <f t="shared" si="1"/>
        <v>5.5</v>
      </c>
      <c r="R18" s="7">
        <f t="shared" si="1"/>
        <v>6</v>
      </c>
      <c r="S18" s="7">
        <f t="shared" si="1"/>
        <v>6.5</v>
      </c>
      <c r="T18" s="7">
        <f t="shared" si="1"/>
        <v>7</v>
      </c>
      <c r="U18" s="7">
        <f t="shared" si="1"/>
        <v>7.5</v>
      </c>
      <c r="V18" s="7">
        <f t="shared" si="1"/>
        <v>8</v>
      </c>
      <c r="W18" s="7">
        <f t="shared" si="1"/>
        <v>8.5</v>
      </c>
      <c r="X18" s="7">
        <f t="shared" si="1"/>
        <v>9</v>
      </c>
      <c r="Y18" s="7">
        <f t="shared" si="1"/>
        <v>9.5</v>
      </c>
      <c r="Z18" s="7">
        <f t="shared" si="1"/>
        <v>10</v>
      </c>
      <c r="AA18" s="29">
        <f t="shared" si="1"/>
        <v>10.5</v>
      </c>
      <c r="AB18" s="28">
        <f>SUM(D18:F18)</f>
        <v>0</v>
      </c>
      <c r="AC18" s="7">
        <f>SUM(G18:I18)</f>
        <v>2</v>
      </c>
      <c r="AD18" s="7">
        <f>SUM(J18:L18)</f>
        <v>4</v>
      </c>
      <c r="AE18" s="29">
        <f>SUM(M18:O18)</f>
        <v>5</v>
      </c>
      <c r="AF18" s="23">
        <f>SUM(AB18:AE18)</f>
        <v>11</v>
      </c>
      <c r="AG18" s="28">
        <f>SUM(P18:R18)</f>
        <v>13.5</v>
      </c>
      <c r="AH18" s="7">
        <f>SUM(S18:U18)</f>
        <v>21</v>
      </c>
      <c r="AI18" s="7">
        <f>SUM(V18:X18)</f>
        <v>25.5</v>
      </c>
      <c r="AJ18" s="29">
        <f>SUM(Y18:AA18)</f>
        <v>30</v>
      </c>
      <c r="AK18" s="23">
        <f>SUM(AG18:AJ18)</f>
        <v>90</v>
      </c>
      <c r="AL18" s="23">
        <f>AF18+AK18</f>
        <v>101</v>
      </c>
    </row>
    <row r="19" spans="2:40" x14ac:dyDescent="0.2">
      <c r="B19" s="60" t="s">
        <v>87</v>
      </c>
      <c r="C19" s="64"/>
      <c r="D19" s="28">
        <f>$C$12*D18</f>
        <v>0</v>
      </c>
      <c r="E19" s="7">
        <f>$C$12*E18</f>
        <v>0</v>
      </c>
      <c r="F19" s="29">
        <f>$C$12*F18</f>
        <v>0</v>
      </c>
      <c r="G19" s="28">
        <f>$C$12*E18</f>
        <v>0</v>
      </c>
      <c r="H19" s="7">
        <f t="shared" ref="H19:AA19" si="2">$C$12*F18</f>
        <v>0</v>
      </c>
      <c r="I19" s="29">
        <f t="shared" si="2"/>
        <v>0.25</v>
      </c>
      <c r="J19" s="28">
        <f t="shared" si="2"/>
        <v>0.25</v>
      </c>
      <c r="K19" s="7">
        <f t="shared" si="2"/>
        <v>0.5</v>
      </c>
      <c r="L19" s="29">
        <f t="shared" si="2"/>
        <v>0.5</v>
      </c>
      <c r="M19" s="7">
        <f t="shared" si="2"/>
        <v>0.75</v>
      </c>
      <c r="N19" s="7">
        <f t="shared" si="2"/>
        <v>0.75</v>
      </c>
      <c r="O19" s="29">
        <f t="shared" si="2"/>
        <v>0.75</v>
      </c>
      <c r="P19" s="28">
        <f t="shared" si="2"/>
        <v>0.75</v>
      </c>
      <c r="Q19" s="7">
        <f t="shared" si="2"/>
        <v>1</v>
      </c>
      <c r="R19" s="7">
        <f t="shared" si="2"/>
        <v>1</v>
      </c>
      <c r="S19" s="7">
        <f t="shared" si="2"/>
        <v>2.75</v>
      </c>
      <c r="T19" s="7">
        <f t="shared" si="2"/>
        <v>3</v>
      </c>
      <c r="U19" s="7">
        <f t="shared" si="2"/>
        <v>3.25</v>
      </c>
      <c r="V19" s="7">
        <f t="shared" si="2"/>
        <v>3.5</v>
      </c>
      <c r="W19" s="7">
        <f t="shared" si="2"/>
        <v>3.75</v>
      </c>
      <c r="X19" s="7">
        <f t="shared" si="2"/>
        <v>4</v>
      </c>
      <c r="Y19" s="7">
        <f t="shared" si="2"/>
        <v>4.25</v>
      </c>
      <c r="Z19" s="7">
        <f t="shared" si="2"/>
        <v>4.5</v>
      </c>
      <c r="AA19" s="29">
        <f t="shared" si="2"/>
        <v>4.75</v>
      </c>
      <c r="AB19" s="28">
        <f>SUM(D19:F19)</f>
        <v>0</v>
      </c>
      <c r="AC19" s="7">
        <f>SUM(G19:I19)</f>
        <v>0.25</v>
      </c>
      <c r="AD19" s="7">
        <f>SUM(J19:L19)</f>
        <v>1.25</v>
      </c>
      <c r="AE19" s="29">
        <f>SUM(M19:O19)</f>
        <v>2.25</v>
      </c>
      <c r="AF19" s="23">
        <f>SUM(AB19:AE19)</f>
        <v>3.75</v>
      </c>
      <c r="AG19" s="28">
        <f>SUM(P19:R19)</f>
        <v>2.75</v>
      </c>
      <c r="AH19" s="7">
        <f>SUM(S19:U19)</f>
        <v>9</v>
      </c>
      <c r="AI19" s="7">
        <f>SUM(V19:X19)</f>
        <v>11.25</v>
      </c>
      <c r="AJ19" s="29">
        <f>SUM(Y19:AA19)</f>
        <v>13.5</v>
      </c>
      <c r="AK19" s="23">
        <f>SUM(AG19:AJ19)</f>
        <v>36.5</v>
      </c>
      <c r="AL19" s="23">
        <f>AF19+AK19</f>
        <v>40.25</v>
      </c>
    </row>
    <row r="20" spans="2:40" x14ac:dyDescent="0.2">
      <c r="B20" s="26"/>
      <c r="C20" s="27"/>
      <c r="D20" s="26"/>
      <c r="F20" s="27"/>
      <c r="G20" s="26"/>
      <c r="I20" s="27"/>
      <c r="J20" s="26"/>
      <c r="L20" s="27"/>
      <c r="O20" s="27"/>
      <c r="P20" s="26"/>
      <c r="AA20" s="27"/>
      <c r="AB20" s="26"/>
      <c r="AE20" s="27"/>
      <c r="AF20" s="18"/>
      <c r="AG20" s="26"/>
      <c r="AJ20" s="27"/>
      <c r="AK20" s="18"/>
      <c r="AL20" s="18"/>
    </row>
    <row r="21" spans="2:40" s="83" customFormat="1" x14ac:dyDescent="0.2">
      <c r="B21" s="85" t="s">
        <v>95</v>
      </c>
      <c r="C21" s="82"/>
      <c r="D21" s="81"/>
      <c r="F21" s="82"/>
      <c r="G21" s="81"/>
      <c r="I21" s="82"/>
      <c r="J21" s="81"/>
      <c r="L21" s="82"/>
      <c r="O21" s="82"/>
      <c r="P21" s="81"/>
      <c r="AA21" s="82"/>
      <c r="AB21" s="81"/>
      <c r="AE21" s="82"/>
      <c r="AF21" s="84"/>
      <c r="AG21" s="81"/>
      <c r="AJ21" s="82"/>
      <c r="AK21" s="84"/>
      <c r="AL21" s="84"/>
    </row>
    <row r="22" spans="2:40" x14ac:dyDescent="0.2">
      <c r="B22" s="60" t="s">
        <v>97</v>
      </c>
      <c r="C22" s="27"/>
      <c r="D22" s="28">
        <f>D16</f>
        <v>0</v>
      </c>
      <c r="E22" s="7">
        <f t="shared" ref="E22:F25" si="3">D22+E16</f>
        <v>10</v>
      </c>
      <c r="F22" s="29">
        <f t="shared" si="3"/>
        <v>20</v>
      </c>
      <c r="G22" s="26">
        <f t="shared" ref="G22:AA22" si="4">F22+G16</f>
        <v>40</v>
      </c>
      <c r="H22">
        <f t="shared" si="4"/>
        <v>60</v>
      </c>
      <c r="I22" s="27">
        <f t="shared" si="4"/>
        <v>90</v>
      </c>
      <c r="J22" s="26">
        <f t="shared" si="4"/>
        <v>120</v>
      </c>
      <c r="K22">
        <f t="shared" si="4"/>
        <v>150</v>
      </c>
      <c r="L22" s="27">
        <f t="shared" si="4"/>
        <v>180</v>
      </c>
      <c r="M22">
        <f t="shared" si="4"/>
        <v>220</v>
      </c>
      <c r="N22">
        <f t="shared" si="4"/>
        <v>260</v>
      </c>
      <c r="O22" s="27">
        <f t="shared" si="4"/>
        <v>370</v>
      </c>
      <c r="P22" s="26">
        <f t="shared" si="4"/>
        <v>490</v>
      </c>
      <c r="Q22">
        <f t="shared" si="4"/>
        <v>620</v>
      </c>
      <c r="R22">
        <f t="shared" si="4"/>
        <v>760</v>
      </c>
      <c r="S22">
        <f t="shared" si="4"/>
        <v>910</v>
      </c>
      <c r="T22">
        <f t="shared" si="4"/>
        <v>1070</v>
      </c>
      <c r="U22">
        <f t="shared" si="4"/>
        <v>1240</v>
      </c>
      <c r="V22">
        <f t="shared" si="4"/>
        <v>1420</v>
      </c>
      <c r="W22">
        <f t="shared" si="4"/>
        <v>1610</v>
      </c>
      <c r="X22">
        <f t="shared" si="4"/>
        <v>1810</v>
      </c>
      <c r="Y22">
        <f t="shared" si="4"/>
        <v>2020</v>
      </c>
      <c r="Z22">
        <f t="shared" si="4"/>
        <v>2240</v>
      </c>
      <c r="AA22" s="27">
        <f t="shared" si="4"/>
        <v>2250</v>
      </c>
      <c r="AB22" s="28">
        <f>F22</f>
        <v>20</v>
      </c>
      <c r="AC22" s="7">
        <f>I22</f>
        <v>90</v>
      </c>
      <c r="AD22" s="7">
        <f>L22</f>
        <v>180</v>
      </c>
      <c r="AE22" s="29">
        <f>O22</f>
        <v>370</v>
      </c>
      <c r="AF22" s="23">
        <f>AE22</f>
        <v>370</v>
      </c>
      <c r="AG22" s="28">
        <f>R22</f>
        <v>760</v>
      </c>
      <c r="AH22" s="7">
        <f>U22</f>
        <v>1240</v>
      </c>
      <c r="AI22" s="7">
        <f>X22</f>
        <v>1810</v>
      </c>
      <c r="AJ22" s="29">
        <f>AA22</f>
        <v>2250</v>
      </c>
      <c r="AK22" s="23">
        <f>AJ22</f>
        <v>2250</v>
      </c>
      <c r="AL22" s="23">
        <f>AK22</f>
        <v>2250</v>
      </c>
    </row>
    <row r="23" spans="2:40" x14ac:dyDescent="0.2">
      <c r="B23" s="60" t="s">
        <v>85</v>
      </c>
      <c r="C23" s="27"/>
      <c r="D23" s="28">
        <f>D17</f>
        <v>0</v>
      </c>
      <c r="E23" s="7">
        <f t="shared" si="3"/>
        <v>0</v>
      </c>
      <c r="F23" s="29">
        <f t="shared" si="3"/>
        <v>1</v>
      </c>
      <c r="G23" s="26">
        <f t="shared" ref="G23:AA23" si="5">F23+G17</f>
        <v>2</v>
      </c>
      <c r="H23">
        <f t="shared" si="5"/>
        <v>4</v>
      </c>
      <c r="I23" s="27">
        <f t="shared" si="5"/>
        <v>6</v>
      </c>
      <c r="J23" s="26">
        <f t="shared" si="5"/>
        <v>9</v>
      </c>
      <c r="K23">
        <f t="shared" si="5"/>
        <v>12</v>
      </c>
      <c r="L23" s="27">
        <f t="shared" si="5"/>
        <v>15</v>
      </c>
      <c r="M23">
        <f t="shared" si="5"/>
        <v>18</v>
      </c>
      <c r="N23">
        <f t="shared" si="5"/>
        <v>22</v>
      </c>
      <c r="O23" s="27">
        <f t="shared" si="5"/>
        <v>26</v>
      </c>
      <c r="P23" s="26">
        <f t="shared" si="5"/>
        <v>37</v>
      </c>
      <c r="Q23">
        <f t="shared" si="5"/>
        <v>49</v>
      </c>
      <c r="R23">
        <f t="shared" si="5"/>
        <v>62</v>
      </c>
      <c r="S23">
        <f t="shared" si="5"/>
        <v>76</v>
      </c>
      <c r="T23">
        <f t="shared" si="5"/>
        <v>91</v>
      </c>
      <c r="U23">
        <f t="shared" si="5"/>
        <v>107</v>
      </c>
      <c r="V23">
        <f t="shared" si="5"/>
        <v>124</v>
      </c>
      <c r="W23">
        <f t="shared" si="5"/>
        <v>142</v>
      </c>
      <c r="X23">
        <f t="shared" si="5"/>
        <v>161</v>
      </c>
      <c r="Y23">
        <f t="shared" si="5"/>
        <v>181</v>
      </c>
      <c r="Z23">
        <f t="shared" si="5"/>
        <v>202</v>
      </c>
      <c r="AA23" s="27">
        <f t="shared" si="5"/>
        <v>224</v>
      </c>
      <c r="AB23" s="28">
        <f>F23</f>
        <v>1</v>
      </c>
      <c r="AC23" s="7">
        <f>I23</f>
        <v>6</v>
      </c>
      <c r="AD23" s="7">
        <f>L23</f>
        <v>15</v>
      </c>
      <c r="AE23" s="29">
        <f>O23</f>
        <v>26</v>
      </c>
      <c r="AF23" s="23">
        <f>AE23</f>
        <v>26</v>
      </c>
      <c r="AG23" s="28">
        <f>R23</f>
        <v>62</v>
      </c>
      <c r="AH23" s="7">
        <f>U23</f>
        <v>107</v>
      </c>
      <c r="AI23" s="7">
        <f>X23</f>
        <v>161</v>
      </c>
      <c r="AJ23" s="29">
        <f>AA23</f>
        <v>224</v>
      </c>
      <c r="AK23" s="23">
        <f t="shared" ref="AK23:AL25" si="6">AJ23</f>
        <v>224</v>
      </c>
      <c r="AL23" s="23">
        <f t="shared" si="6"/>
        <v>224</v>
      </c>
    </row>
    <row r="24" spans="2:40" x14ac:dyDescent="0.2">
      <c r="B24" s="60" t="s">
        <v>86</v>
      </c>
      <c r="C24" s="27"/>
      <c r="D24" s="28">
        <f>D18</f>
        <v>0</v>
      </c>
      <c r="E24" s="7">
        <f t="shared" si="3"/>
        <v>0</v>
      </c>
      <c r="F24" s="29">
        <f t="shared" si="3"/>
        <v>0</v>
      </c>
      <c r="G24" s="26">
        <f t="shared" ref="G24:AA24" si="7">F24+G18</f>
        <v>0.5</v>
      </c>
      <c r="H24">
        <f t="shared" si="7"/>
        <v>1</v>
      </c>
      <c r="I24" s="27">
        <f t="shared" si="7"/>
        <v>2</v>
      </c>
      <c r="J24" s="26">
        <f t="shared" si="7"/>
        <v>3</v>
      </c>
      <c r="K24">
        <f t="shared" si="7"/>
        <v>4.5</v>
      </c>
      <c r="L24" s="27">
        <f t="shared" si="7"/>
        <v>6</v>
      </c>
      <c r="M24">
        <f t="shared" si="7"/>
        <v>7.5</v>
      </c>
      <c r="N24">
        <f t="shared" si="7"/>
        <v>9</v>
      </c>
      <c r="O24" s="27">
        <f t="shared" si="7"/>
        <v>11</v>
      </c>
      <c r="P24" s="26">
        <f t="shared" si="7"/>
        <v>13</v>
      </c>
      <c r="Q24">
        <f t="shared" si="7"/>
        <v>18.5</v>
      </c>
      <c r="R24">
        <f t="shared" si="7"/>
        <v>24.5</v>
      </c>
      <c r="S24">
        <f t="shared" si="7"/>
        <v>31</v>
      </c>
      <c r="T24">
        <f t="shared" si="7"/>
        <v>38</v>
      </c>
      <c r="U24">
        <f t="shared" si="7"/>
        <v>45.5</v>
      </c>
      <c r="V24">
        <f t="shared" si="7"/>
        <v>53.5</v>
      </c>
      <c r="W24">
        <f t="shared" si="7"/>
        <v>62</v>
      </c>
      <c r="X24">
        <f t="shared" si="7"/>
        <v>71</v>
      </c>
      <c r="Y24">
        <f t="shared" si="7"/>
        <v>80.5</v>
      </c>
      <c r="Z24">
        <f t="shared" si="7"/>
        <v>90.5</v>
      </c>
      <c r="AA24" s="27">
        <f t="shared" si="7"/>
        <v>101</v>
      </c>
      <c r="AB24" s="28">
        <f>F24</f>
        <v>0</v>
      </c>
      <c r="AC24" s="7">
        <f>I24</f>
        <v>2</v>
      </c>
      <c r="AD24" s="7">
        <f>L24</f>
        <v>6</v>
      </c>
      <c r="AE24" s="29">
        <f>O24</f>
        <v>11</v>
      </c>
      <c r="AF24" s="23">
        <f>AE24</f>
        <v>11</v>
      </c>
      <c r="AG24" s="28">
        <f>R24</f>
        <v>24.5</v>
      </c>
      <c r="AH24" s="7">
        <f>U24</f>
        <v>45.5</v>
      </c>
      <c r="AI24" s="7">
        <f>X24</f>
        <v>71</v>
      </c>
      <c r="AJ24" s="29">
        <f>AA24</f>
        <v>101</v>
      </c>
      <c r="AK24" s="23">
        <f t="shared" si="6"/>
        <v>101</v>
      </c>
      <c r="AL24" s="23">
        <f t="shared" si="6"/>
        <v>101</v>
      </c>
    </row>
    <row r="25" spans="2:40" x14ac:dyDescent="0.2">
      <c r="B25" s="60" t="s">
        <v>87</v>
      </c>
      <c r="C25" s="27"/>
      <c r="D25" s="28">
        <f>D19</f>
        <v>0</v>
      </c>
      <c r="E25" s="7">
        <f t="shared" si="3"/>
        <v>0</v>
      </c>
      <c r="F25" s="29">
        <f t="shared" si="3"/>
        <v>0</v>
      </c>
      <c r="G25" s="26">
        <f t="shared" ref="G25:AA25" si="8">F25+G19</f>
        <v>0</v>
      </c>
      <c r="H25">
        <f t="shared" si="8"/>
        <v>0</v>
      </c>
      <c r="I25" s="27">
        <f t="shared" si="8"/>
        <v>0.25</v>
      </c>
      <c r="J25" s="26">
        <f t="shared" si="8"/>
        <v>0.5</v>
      </c>
      <c r="K25">
        <f t="shared" si="8"/>
        <v>1</v>
      </c>
      <c r="L25" s="27">
        <f t="shared" si="8"/>
        <v>1.5</v>
      </c>
      <c r="M25">
        <f t="shared" si="8"/>
        <v>2.25</v>
      </c>
      <c r="N25">
        <f t="shared" si="8"/>
        <v>3</v>
      </c>
      <c r="O25" s="27">
        <f t="shared" si="8"/>
        <v>3.75</v>
      </c>
      <c r="P25" s="26">
        <f t="shared" si="8"/>
        <v>4.5</v>
      </c>
      <c r="Q25">
        <f t="shared" si="8"/>
        <v>5.5</v>
      </c>
      <c r="R25">
        <f t="shared" si="8"/>
        <v>6.5</v>
      </c>
      <c r="S25">
        <f t="shared" si="8"/>
        <v>9.25</v>
      </c>
      <c r="T25">
        <f t="shared" si="8"/>
        <v>12.25</v>
      </c>
      <c r="U25">
        <f t="shared" si="8"/>
        <v>15.5</v>
      </c>
      <c r="V25">
        <f t="shared" si="8"/>
        <v>19</v>
      </c>
      <c r="W25">
        <f t="shared" si="8"/>
        <v>22.75</v>
      </c>
      <c r="X25">
        <f t="shared" si="8"/>
        <v>26.75</v>
      </c>
      <c r="Y25">
        <f t="shared" si="8"/>
        <v>31</v>
      </c>
      <c r="Z25">
        <f t="shared" si="8"/>
        <v>35.5</v>
      </c>
      <c r="AA25" s="27">
        <f t="shared" si="8"/>
        <v>40.25</v>
      </c>
      <c r="AB25" s="28">
        <f>F25</f>
        <v>0</v>
      </c>
      <c r="AC25" s="7">
        <f>I25</f>
        <v>0.25</v>
      </c>
      <c r="AD25" s="7">
        <f>L25</f>
        <v>1.5</v>
      </c>
      <c r="AE25" s="29">
        <f>O25</f>
        <v>3.75</v>
      </c>
      <c r="AF25" s="23">
        <f>AE25</f>
        <v>3.75</v>
      </c>
      <c r="AG25" s="28">
        <f>R25</f>
        <v>6.5</v>
      </c>
      <c r="AH25" s="7">
        <f>U25</f>
        <v>15.5</v>
      </c>
      <c r="AI25" s="7">
        <f>X25</f>
        <v>26.75</v>
      </c>
      <c r="AJ25" s="29">
        <f>AA25</f>
        <v>40.25</v>
      </c>
      <c r="AK25" s="23">
        <f t="shared" si="6"/>
        <v>40.25</v>
      </c>
      <c r="AL25" s="23">
        <f t="shared" si="6"/>
        <v>40.25</v>
      </c>
    </row>
    <row r="26" spans="2:40" ht="16" x14ac:dyDescent="0.2">
      <c r="B26" s="65" t="s">
        <v>78</v>
      </c>
      <c r="C26" s="66"/>
      <c r="D26" s="26"/>
      <c r="F26" s="27"/>
      <c r="G26" s="26"/>
      <c r="I26" s="27"/>
      <c r="J26" s="26"/>
      <c r="L26" s="27"/>
      <c r="O26" s="27"/>
      <c r="P26" s="26"/>
      <c r="AA26" s="27"/>
      <c r="AB26" s="26"/>
      <c r="AE26" s="27"/>
      <c r="AF26" s="18"/>
      <c r="AG26" s="26"/>
      <c r="AJ26" s="27"/>
      <c r="AK26" s="18"/>
      <c r="AL26" s="18"/>
    </row>
    <row r="27" spans="2:40" s="80" customFormat="1" ht="16" x14ac:dyDescent="0.2">
      <c r="B27" s="78" t="s">
        <v>96</v>
      </c>
      <c r="C27" s="79"/>
      <c r="D27" s="115">
        <f>SUM(D28:D31)</f>
        <v>0</v>
      </c>
      <c r="E27" s="116">
        <f t="shared" ref="E27:AL27" si="9">SUM(E28:E31)</f>
        <v>0</v>
      </c>
      <c r="F27" s="117">
        <f t="shared" si="9"/>
        <v>20000</v>
      </c>
      <c r="G27" s="115">
        <f t="shared" si="9"/>
        <v>30000</v>
      </c>
      <c r="H27" s="116">
        <f t="shared" si="9"/>
        <v>50000</v>
      </c>
      <c r="I27" s="117">
        <f t="shared" si="9"/>
        <v>80000</v>
      </c>
      <c r="J27" s="115">
        <f t="shared" si="9"/>
        <v>100000</v>
      </c>
      <c r="K27" s="116">
        <f t="shared" si="9"/>
        <v>130000</v>
      </c>
      <c r="L27" s="117">
        <f t="shared" si="9"/>
        <v>130000</v>
      </c>
      <c r="M27" s="116">
        <f t="shared" si="9"/>
        <v>150000</v>
      </c>
      <c r="N27" s="116">
        <f t="shared" si="9"/>
        <v>170000</v>
      </c>
      <c r="O27" s="117">
        <f t="shared" si="9"/>
        <v>180000</v>
      </c>
      <c r="P27" s="115">
        <f t="shared" si="9"/>
        <v>320000</v>
      </c>
      <c r="Q27" s="116">
        <f t="shared" si="9"/>
        <v>430000</v>
      </c>
      <c r="R27" s="116">
        <f t="shared" si="9"/>
        <v>460000</v>
      </c>
      <c r="S27" s="116">
        <f t="shared" si="9"/>
        <v>630000</v>
      </c>
      <c r="T27" s="116">
        <f t="shared" si="9"/>
        <v>680000</v>
      </c>
      <c r="U27" s="116">
        <f t="shared" si="9"/>
        <v>730000</v>
      </c>
      <c r="V27" s="116">
        <f t="shared" si="9"/>
        <v>780000</v>
      </c>
      <c r="W27" s="116">
        <f t="shared" si="9"/>
        <v>830000</v>
      </c>
      <c r="X27" s="116">
        <f t="shared" si="9"/>
        <v>880000</v>
      </c>
      <c r="Y27" s="116">
        <f t="shared" si="9"/>
        <v>930000</v>
      </c>
      <c r="Z27" s="116">
        <f t="shared" si="9"/>
        <v>980000</v>
      </c>
      <c r="AA27" s="117">
        <f t="shared" si="9"/>
        <v>1030000</v>
      </c>
      <c r="AB27" s="118">
        <f t="shared" si="9"/>
        <v>20000</v>
      </c>
      <c r="AC27" s="119">
        <f t="shared" si="9"/>
        <v>160000</v>
      </c>
      <c r="AD27" s="119">
        <f t="shared" si="9"/>
        <v>360000</v>
      </c>
      <c r="AE27" s="120">
        <f t="shared" si="9"/>
        <v>500000</v>
      </c>
      <c r="AF27" s="122">
        <f t="shared" si="9"/>
        <v>1040000</v>
      </c>
      <c r="AG27" s="118">
        <f t="shared" si="9"/>
        <v>1210000</v>
      </c>
      <c r="AH27" s="119">
        <f t="shared" si="9"/>
        <v>2040000</v>
      </c>
      <c r="AI27" s="119">
        <f t="shared" si="9"/>
        <v>2490000</v>
      </c>
      <c r="AJ27" s="120">
        <f t="shared" si="9"/>
        <v>2940000</v>
      </c>
      <c r="AK27" s="121">
        <f t="shared" si="9"/>
        <v>8680000</v>
      </c>
      <c r="AL27" s="121">
        <f t="shared" si="9"/>
        <v>9720000</v>
      </c>
    </row>
    <row r="28" spans="2:40" x14ac:dyDescent="0.2">
      <c r="B28" s="60" t="s">
        <v>97</v>
      </c>
      <c r="C28" s="99"/>
      <c r="D28" s="101">
        <v>0</v>
      </c>
      <c r="E28" s="103">
        <v>0</v>
      </c>
      <c r="F28" s="102">
        <v>0</v>
      </c>
      <c r="G28" s="101">
        <v>0</v>
      </c>
      <c r="H28" s="103">
        <v>0</v>
      </c>
      <c r="I28" s="102">
        <v>0</v>
      </c>
      <c r="J28" s="101">
        <v>0</v>
      </c>
      <c r="K28" s="103">
        <v>0</v>
      </c>
      <c r="L28" s="102">
        <v>0</v>
      </c>
      <c r="M28" s="103">
        <v>0</v>
      </c>
      <c r="N28" s="103">
        <v>0</v>
      </c>
      <c r="O28" s="102">
        <v>0</v>
      </c>
      <c r="P28" s="101">
        <v>0</v>
      </c>
      <c r="Q28" s="103">
        <v>0</v>
      </c>
      <c r="R28" s="103">
        <v>0</v>
      </c>
      <c r="S28" s="103">
        <v>0</v>
      </c>
      <c r="T28" s="103">
        <v>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2">
        <v>0</v>
      </c>
      <c r="AB28" s="104">
        <f>SUM(D28:F28)</f>
        <v>0</v>
      </c>
      <c r="AC28" s="105">
        <f>SUM(G28:I28)</f>
        <v>0</v>
      </c>
      <c r="AD28" s="105">
        <f>SUM(J28:L28)</f>
        <v>0</v>
      </c>
      <c r="AE28" s="106">
        <f>SUM(M28:O28)</f>
        <v>0</v>
      </c>
      <c r="AF28" s="107">
        <f>SUM(AB28:AE28)</f>
        <v>0</v>
      </c>
      <c r="AG28" s="104">
        <f>SUM(P28:R28)</f>
        <v>0</v>
      </c>
      <c r="AH28" s="105">
        <f>SUM(S28:U28)</f>
        <v>0</v>
      </c>
      <c r="AI28" s="105">
        <f>SUM(V28:X28)</f>
        <v>0</v>
      </c>
      <c r="AJ28" s="106">
        <f>SUM(Y28:AA28)</f>
        <v>0</v>
      </c>
      <c r="AK28" s="107">
        <f>SUM(AG28:AJ28)</f>
        <v>0</v>
      </c>
      <c r="AL28" s="107">
        <f>AF28+AK28</f>
        <v>0</v>
      </c>
    </row>
    <row r="29" spans="2:40" x14ac:dyDescent="0.2">
      <c r="B29" s="60" t="s">
        <v>85</v>
      </c>
      <c r="C29" s="99"/>
      <c r="D29" s="101">
        <f>$C$5*D17</f>
        <v>0</v>
      </c>
      <c r="E29" s="103">
        <f t="shared" ref="E29:AA29" si="10">$C$5*E17</f>
        <v>0</v>
      </c>
      <c r="F29" s="102">
        <f t="shared" si="10"/>
        <v>20000</v>
      </c>
      <c r="G29" s="101">
        <f t="shared" si="10"/>
        <v>20000</v>
      </c>
      <c r="H29" s="103">
        <f t="shared" si="10"/>
        <v>40000</v>
      </c>
      <c r="I29" s="102">
        <f t="shared" si="10"/>
        <v>40000</v>
      </c>
      <c r="J29" s="101">
        <f t="shared" si="10"/>
        <v>60000</v>
      </c>
      <c r="K29" s="103">
        <f t="shared" si="10"/>
        <v>60000</v>
      </c>
      <c r="L29" s="102">
        <f t="shared" si="10"/>
        <v>60000</v>
      </c>
      <c r="M29" s="103">
        <f t="shared" si="10"/>
        <v>60000</v>
      </c>
      <c r="N29" s="103">
        <f t="shared" si="10"/>
        <v>80000</v>
      </c>
      <c r="O29" s="102">
        <f t="shared" si="10"/>
        <v>80000</v>
      </c>
      <c r="P29" s="101">
        <f t="shared" si="10"/>
        <v>220000</v>
      </c>
      <c r="Q29" s="103">
        <f t="shared" si="10"/>
        <v>240000</v>
      </c>
      <c r="R29" s="103">
        <f t="shared" si="10"/>
        <v>260000</v>
      </c>
      <c r="S29" s="103">
        <f t="shared" si="10"/>
        <v>280000</v>
      </c>
      <c r="T29" s="103">
        <f t="shared" si="10"/>
        <v>300000</v>
      </c>
      <c r="U29" s="103">
        <f t="shared" si="10"/>
        <v>320000</v>
      </c>
      <c r="V29" s="103">
        <f t="shared" si="10"/>
        <v>340000</v>
      </c>
      <c r="W29" s="103">
        <f t="shared" si="10"/>
        <v>360000</v>
      </c>
      <c r="X29" s="103">
        <f t="shared" si="10"/>
        <v>380000</v>
      </c>
      <c r="Y29" s="103">
        <f t="shared" si="10"/>
        <v>400000</v>
      </c>
      <c r="Z29" s="103">
        <f t="shared" si="10"/>
        <v>420000</v>
      </c>
      <c r="AA29" s="102">
        <f t="shared" si="10"/>
        <v>440000</v>
      </c>
      <c r="AB29" s="104">
        <f>SUM(D29:F29)</f>
        <v>20000</v>
      </c>
      <c r="AC29" s="105">
        <f>SUM(G29:I29)</f>
        <v>100000</v>
      </c>
      <c r="AD29" s="105">
        <f>SUM(J29:L29)</f>
        <v>180000</v>
      </c>
      <c r="AE29" s="106">
        <f>SUM(M29:O29)</f>
        <v>220000</v>
      </c>
      <c r="AF29" s="107">
        <f>SUM(AB29:AE29)</f>
        <v>520000</v>
      </c>
      <c r="AG29" s="104">
        <f>SUM(P29:R29)</f>
        <v>720000</v>
      </c>
      <c r="AH29" s="105">
        <f>SUM(S29:U29)</f>
        <v>900000</v>
      </c>
      <c r="AI29" s="105">
        <f>SUM(V29:X29)</f>
        <v>1080000</v>
      </c>
      <c r="AJ29" s="106">
        <f>SUM(Y29:AA29)</f>
        <v>1260000</v>
      </c>
      <c r="AK29" s="107">
        <f>SUM(AG29:AJ29)</f>
        <v>3960000</v>
      </c>
      <c r="AL29" s="107">
        <f>AF29+AK29</f>
        <v>4480000</v>
      </c>
    </row>
    <row r="30" spans="2:40" x14ac:dyDescent="0.2">
      <c r="B30" s="60" t="s">
        <v>86</v>
      </c>
      <c r="C30" s="99"/>
      <c r="D30" s="101">
        <f>$C$6*D18</f>
        <v>0</v>
      </c>
      <c r="E30" s="103">
        <f t="shared" ref="E30:AA30" si="11">$C$6*E18</f>
        <v>0</v>
      </c>
      <c r="F30" s="102">
        <f t="shared" si="11"/>
        <v>0</v>
      </c>
      <c r="G30" s="101">
        <f t="shared" si="11"/>
        <v>10000</v>
      </c>
      <c r="H30" s="103">
        <f t="shared" si="11"/>
        <v>10000</v>
      </c>
      <c r="I30" s="102">
        <f t="shared" si="11"/>
        <v>20000</v>
      </c>
      <c r="J30" s="101">
        <f t="shared" si="11"/>
        <v>20000</v>
      </c>
      <c r="K30" s="103">
        <f t="shared" si="11"/>
        <v>30000</v>
      </c>
      <c r="L30" s="102">
        <f t="shared" si="11"/>
        <v>30000</v>
      </c>
      <c r="M30" s="103">
        <f t="shared" si="11"/>
        <v>30000</v>
      </c>
      <c r="N30" s="103">
        <f t="shared" si="11"/>
        <v>30000</v>
      </c>
      <c r="O30" s="102">
        <f t="shared" si="11"/>
        <v>40000</v>
      </c>
      <c r="P30" s="101">
        <f t="shared" si="11"/>
        <v>40000</v>
      </c>
      <c r="Q30" s="103">
        <f t="shared" si="11"/>
        <v>110000</v>
      </c>
      <c r="R30" s="103">
        <f t="shared" si="11"/>
        <v>120000</v>
      </c>
      <c r="S30" s="103">
        <f t="shared" si="11"/>
        <v>130000</v>
      </c>
      <c r="T30" s="103">
        <f t="shared" si="11"/>
        <v>140000</v>
      </c>
      <c r="U30" s="103">
        <f t="shared" si="11"/>
        <v>150000</v>
      </c>
      <c r="V30" s="103">
        <f t="shared" si="11"/>
        <v>160000</v>
      </c>
      <c r="W30" s="103">
        <f t="shared" si="11"/>
        <v>170000</v>
      </c>
      <c r="X30" s="103">
        <f t="shared" si="11"/>
        <v>180000</v>
      </c>
      <c r="Y30" s="103">
        <f t="shared" si="11"/>
        <v>190000</v>
      </c>
      <c r="Z30" s="103">
        <f t="shared" si="11"/>
        <v>200000</v>
      </c>
      <c r="AA30" s="102">
        <f t="shared" si="11"/>
        <v>210000</v>
      </c>
      <c r="AB30" s="104">
        <f>SUM(D30:F30)</f>
        <v>0</v>
      </c>
      <c r="AC30" s="105">
        <f>SUM(G30:I30)</f>
        <v>40000</v>
      </c>
      <c r="AD30" s="105">
        <f>SUM(J30:L30)</f>
        <v>80000</v>
      </c>
      <c r="AE30" s="106">
        <f>SUM(M30:O30)</f>
        <v>100000</v>
      </c>
      <c r="AF30" s="107">
        <f>SUM(AB30:AE30)</f>
        <v>220000</v>
      </c>
      <c r="AG30" s="104">
        <f>SUM(P30:R30)</f>
        <v>270000</v>
      </c>
      <c r="AH30" s="105">
        <f>SUM(S30:U30)</f>
        <v>420000</v>
      </c>
      <c r="AI30" s="105">
        <f>SUM(V30:X30)</f>
        <v>510000</v>
      </c>
      <c r="AJ30" s="106">
        <f>SUM(Y30:AA30)</f>
        <v>600000</v>
      </c>
      <c r="AK30" s="107">
        <f>SUM(AG30:AJ30)</f>
        <v>1800000</v>
      </c>
      <c r="AL30" s="107">
        <f>AF30+AK30</f>
        <v>2020000</v>
      </c>
    </row>
    <row r="31" spans="2:40" x14ac:dyDescent="0.2">
      <c r="B31" s="60" t="s">
        <v>87</v>
      </c>
      <c r="C31" s="99"/>
      <c r="D31" s="101">
        <f>$C$7*D19</f>
        <v>0</v>
      </c>
      <c r="E31" s="103">
        <f t="shared" ref="E31:AA31" si="12">$C$7*E19</f>
        <v>0</v>
      </c>
      <c r="F31" s="102">
        <f t="shared" si="12"/>
        <v>0</v>
      </c>
      <c r="G31" s="101">
        <f t="shared" si="12"/>
        <v>0</v>
      </c>
      <c r="H31" s="103">
        <f t="shared" si="12"/>
        <v>0</v>
      </c>
      <c r="I31" s="102">
        <f t="shared" si="12"/>
        <v>20000</v>
      </c>
      <c r="J31" s="101">
        <f t="shared" si="12"/>
        <v>20000</v>
      </c>
      <c r="K31" s="103">
        <f t="shared" si="12"/>
        <v>40000</v>
      </c>
      <c r="L31" s="102">
        <f t="shared" si="12"/>
        <v>40000</v>
      </c>
      <c r="M31" s="103">
        <f t="shared" si="12"/>
        <v>60000</v>
      </c>
      <c r="N31" s="103">
        <f t="shared" si="12"/>
        <v>60000</v>
      </c>
      <c r="O31" s="102">
        <f t="shared" si="12"/>
        <v>60000</v>
      </c>
      <c r="P31" s="101">
        <f t="shared" si="12"/>
        <v>60000</v>
      </c>
      <c r="Q31" s="103">
        <f t="shared" si="12"/>
        <v>80000</v>
      </c>
      <c r="R31" s="103">
        <f t="shared" si="12"/>
        <v>80000</v>
      </c>
      <c r="S31" s="103">
        <f t="shared" si="12"/>
        <v>220000</v>
      </c>
      <c r="T31" s="103">
        <f t="shared" si="12"/>
        <v>240000</v>
      </c>
      <c r="U31" s="103">
        <f t="shared" si="12"/>
        <v>260000</v>
      </c>
      <c r="V31" s="103">
        <f t="shared" si="12"/>
        <v>280000</v>
      </c>
      <c r="W31" s="103">
        <f t="shared" si="12"/>
        <v>300000</v>
      </c>
      <c r="X31" s="103">
        <f t="shared" si="12"/>
        <v>320000</v>
      </c>
      <c r="Y31" s="103">
        <f t="shared" si="12"/>
        <v>340000</v>
      </c>
      <c r="Z31" s="103">
        <f t="shared" si="12"/>
        <v>360000</v>
      </c>
      <c r="AA31" s="102">
        <f t="shared" si="12"/>
        <v>380000</v>
      </c>
      <c r="AB31" s="104">
        <f>SUM(D31:F31)</f>
        <v>0</v>
      </c>
      <c r="AC31" s="105">
        <f>SUM(G31:I31)</f>
        <v>20000</v>
      </c>
      <c r="AD31" s="105">
        <f>SUM(J31:L31)</f>
        <v>100000</v>
      </c>
      <c r="AE31" s="106">
        <f>SUM(M31:O31)</f>
        <v>180000</v>
      </c>
      <c r="AF31" s="107">
        <f>SUM(AB31:AE31)</f>
        <v>300000</v>
      </c>
      <c r="AG31" s="104">
        <f>SUM(P31:R31)</f>
        <v>220000</v>
      </c>
      <c r="AH31" s="105">
        <f>SUM(S31:U31)</f>
        <v>720000</v>
      </c>
      <c r="AI31" s="105">
        <f>SUM(V31:X31)</f>
        <v>900000</v>
      </c>
      <c r="AJ31" s="106">
        <f>SUM(Y31:AA31)</f>
        <v>1080000</v>
      </c>
      <c r="AK31" s="107">
        <f>SUM(AG31:AJ31)</f>
        <v>2920000</v>
      </c>
      <c r="AL31" s="107">
        <f>AF31+AK31</f>
        <v>3220000</v>
      </c>
    </row>
    <row r="32" spans="2:40" ht="16" thickBot="1" x14ac:dyDescent="0.25">
      <c r="B32" s="62"/>
      <c r="C32" s="100"/>
      <c r="D32" s="108"/>
      <c r="E32" s="109"/>
      <c r="F32" s="110"/>
      <c r="G32" s="108"/>
      <c r="H32" s="109"/>
      <c r="I32" s="110"/>
      <c r="J32" s="108"/>
      <c r="K32" s="109"/>
      <c r="L32" s="110"/>
      <c r="M32" s="109"/>
      <c r="N32" s="109"/>
      <c r="O32" s="110"/>
      <c r="P32" s="108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10"/>
      <c r="AB32" s="111"/>
      <c r="AC32" s="112"/>
      <c r="AD32" s="112"/>
      <c r="AE32" s="113"/>
      <c r="AF32" s="114"/>
      <c r="AG32" s="111"/>
      <c r="AH32" s="112"/>
      <c r="AI32" s="112"/>
      <c r="AJ32" s="113"/>
      <c r="AK32" s="114"/>
      <c r="AL32" s="114"/>
    </row>
    <row r="36" spans="2:32" x14ac:dyDescent="0.2">
      <c r="B36" s="60" t="s">
        <v>101</v>
      </c>
      <c r="C36" s="99"/>
      <c r="D36" s="101"/>
      <c r="E36" s="103"/>
      <c r="F36" s="102"/>
      <c r="G36" s="101"/>
      <c r="H36" s="103">
        <f>F27</f>
        <v>20000</v>
      </c>
      <c r="I36" s="102">
        <f t="shared" ref="I36:O36" si="13">G27</f>
        <v>30000</v>
      </c>
      <c r="J36" s="101">
        <f t="shared" si="13"/>
        <v>50000</v>
      </c>
      <c r="K36" s="103">
        <f t="shared" si="13"/>
        <v>80000</v>
      </c>
      <c r="L36" s="102">
        <f t="shared" si="13"/>
        <v>100000</v>
      </c>
      <c r="M36" s="103">
        <f t="shared" si="13"/>
        <v>130000</v>
      </c>
      <c r="N36" s="103">
        <f t="shared" si="13"/>
        <v>130000</v>
      </c>
      <c r="O36" s="102">
        <f t="shared" si="13"/>
        <v>150000</v>
      </c>
      <c r="P36" s="101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2"/>
      <c r="AB36" s="104">
        <f>SUM(D36:F36)</f>
        <v>0</v>
      </c>
      <c r="AC36" s="105">
        <f>SUM(G36:I36)</f>
        <v>50000</v>
      </c>
      <c r="AD36" s="105">
        <f>SUM(J36:L36)</f>
        <v>230000</v>
      </c>
      <c r="AE36" s="106">
        <f>SUM(M36:O36)</f>
        <v>410000</v>
      </c>
      <c r="AF36" s="107">
        <f>SUM(D36:O36)</f>
        <v>690000</v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zoomScale="152" zoomScaleNormal="152" workbookViewId="0">
      <selection activeCell="D28" sqref="D28"/>
    </sheetView>
  </sheetViews>
  <sheetFormatPr baseColWidth="10" defaultColWidth="8.83203125" defaultRowHeight="15" outlineLevelRow="1" outlineLevelCol="1" x14ac:dyDescent="0.2"/>
  <cols>
    <col min="1" max="1" width="33.1640625" customWidth="1"/>
    <col min="2" max="2" width="8.83203125" customWidth="1"/>
    <col min="3" max="3" width="7.5" customWidth="1"/>
    <col min="4" max="4" width="9" customWidth="1"/>
    <col min="5" max="5" width="8.33203125" customWidth="1"/>
    <col min="6" max="12" width="9.5" customWidth="1"/>
    <col min="13" max="13" width="10.5" customWidth="1"/>
    <col min="14" max="24" width="11" hidden="1" customWidth="1" outlineLevel="1" collapsed="1"/>
    <col min="25" max="25" width="1" hidden="1" customWidth="1" outlineLevel="1" collapsed="1"/>
    <col min="26" max="26" width="11" hidden="1" customWidth="1" outlineLevel="1" collapsed="1"/>
    <col min="27" max="29" width="11" hidden="1" customWidth="1" outlineLevel="1"/>
    <col min="30" max="30" width="12.33203125" customWidth="1" collapsed="1"/>
    <col min="31" max="36" width="11" customWidth="1"/>
  </cols>
  <sheetData>
    <row r="1" spans="1:6" ht="21" x14ac:dyDescent="0.25">
      <c r="A1" s="126" t="s">
        <v>83</v>
      </c>
      <c r="B1" s="126"/>
      <c r="C1" s="126"/>
      <c r="D1" s="126"/>
      <c r="E1" s="126"/>
    </row>
    <row r="3" spans="1:6" ht="19" x14ac:dyDescent="0.25">
      <c r="A3" s="58" t="s">
        <v>0</v>
      </c>
      <c r="B3" s="58"/>
      <c r="C3" s="58"/>
      <c r="D3" s="58"/>
      <c r="E3" s="58"/>
      <c r="F3" s="58"/>
    </row>
    <row r="4" spans="1:6" x14ac:dyDescent="0.2">
      <c r="A4" s="1" t="s">
        <v>1</v>
      </c>
    </row>
    <row r="5" spans="1:6" x14ac:dyDescent="0.2">
      <c r="A5" t="s">
        <v>2</v>
      </c>
      <c r="B5" s="2">
        <v>20000</v>
      </c>
      <c r="C5" s="3" t="s">
        <v>3</v>
      </c>
    </row>
    <row r="6" spans="1:6" x14ac:dyDescent="0.2">
      <c r="A6" t="s">
        <v>4</v>
      </c>
      <c r="B6" s="2">
        <v>75000</v>
      </c>
      <c r="C6" s="3" t="s">
        <v>5</v>
      </c>
    </row>
    <row r="7" spans="1:6" x14ac:dyDescent="0.2">
      <c r="A7" t="s">
        <v>6</v>
      </c>
      <c r="B7" s="2">
        <v>200000</v>
      </c>
      <c r="C7" s="3" t="s">
        <v>7</v>
      </c>
    </row>
    <row r="8" spans="1:6" hidden="1" outlineLevel="1" x14ac:dyDescent="0.2"/>
    <row r="9" spans="1:6" hidden="1" outlineLevel="1" x14ac:dyDescent="0.2">
      <c r="A9" s="1" t="s">
        <v>8</v>
      </c>
    </row>
    <row r="10" spans="1:6" hidden="1" outlineLevel="1" x14ac:dyDescent="0.2">
      <c r="A10" t="s">
        <v>9</v>
      </c>
      <c r="B10" s="4">
        <v>8.5000000000000006E-3</v>
      </c>
      <c r="C10" s="3" t="s">
        <v>10</v>
      </c>
    </row>
    <row r="11" spans="1:6" hidden="1" outlineLevel="1" x14ac:dyDescent="0.2">
      <c r="A11" t="s">
        <v>11</v>
      </c>
      <c r="B11" s="4">
        <v>1.46E-2</v>
      </c>
      <c r="C11" s="3" t="s">
        <v>12</v>
      </c>
    </row>
    <row r="12" spans="1:6" hidden="1" outlineLevel="1" x14ac:dyDescent="0.2">
      <c r="A12" t="s">
        <v>13</v>
      </c>
      <c r="B12" s="4">
        <v>1.9300000000000001E-2</v>
      </c>
      <c r="C12" s="3" t="s">
        <v>14</v>
      </c>
    </row>
    <row r="13" spans="1:6" hidden="1" outlineLevel="1" x14ac:dyDescent="0.2">
      <c r="A13" t="s">
        <v>15</v>
      </c>
      <c r="B13" s="5">
        <v>1.4999999999999999E-2</v>
      </c>
      <c r="C13" s="3" t="s">
        <v>16</v>
      </c>
    </row>
    <row r="14" spans="1:6" hidden="1" outlineLevel="1" x14ac:dyDescent="0.2">
      <c r="A14" t="s">
        <v>17</v>
      </c>
      <c r="B14" s="5">
        <v>8.0000000000000002E-3</v>
      </c>
      <c r="C14" s="3" t="s">
        <v>18</v>
      </c>
    </row>
    <row r="15" spans="1:6" hidden="1" outlineLevel="1" x14ac:dyDescent="0.2">
      <c r="A15" t="s">
        <v>19</v>
      </c>
      <c r="B15" s="5">
        <v>5.0000000000000001E-3</v>
      </c>
      <c r="C15" s="3" t="s">
        <v>20</v>
      </c>
    </row>
    <row r="16" spans="1:6" hidden="1" outlineLevel="1" x14ac:dyDescent="0.2"/>
    <row r="17" spans="1:36" collapsed="1" x14ac:dyDescent="0.2">
      <c r="A17" s="1" t="s">
        <v>21</v>
      </c>
    </row>
    <row r="18" spans="1:36" x14ac:dyDescent="0.2">
      <c r="A18" t="s">
        <v>22</v>
      </c>
      <c r="B18" s="5">
        <v>0.05</v>
      </c>
      <c r="C18" s="3" t="s">
        <v>23</v>
      </c>
    </row>
    <row r="20" spans="1:36" ht="16" thickBot="1" x14ac:dyDescent="0.25"/>
    <row r="21" spans="1:36" ht="43" thickBot="1" x14ac:dyDescent="0.25">
      <c r="A21" s="51" t="s">
        <v>24</v>
      </c>
      <c r="B21" s="52" t="s">
        <v>25</v>
      </c>
      <c r="C21" s="53" t="s">
        <v>26</v>
      </c>
      <c r="D21" s="53" t="s">
        <v>27</v>
      </c>
      <c r="E21" s="53" t="s">
        <v>28</v>
      </c>
      <c r="F21" s="53" t="s">
        <v>29</v>
      </c>
      <c r="G21" s="53" t="s">
        <v>30</v>
      </c>
      <c r="H21" s="53" t="s">
        <v>31</v>
      </c>
      <c r="I21" s="53" t="s">
        <v>32</v>
      </c>
      <c r="J21" s="53" t="s">
        <v>33</v>
      </c>
      <c r="K21" s="53" t="s">
        <v>34</v>
      </c>
      <c r="L21" s="53" t="s">
        <v>35</v>
      </c>
      <c r="M21" s="54" t="s">
        <v>36</v>
      </c>
      <c r="N21" s="55" t="s">
        <v>37</v>
      </c>
      <c r="O21" s="55" t="s">
        <v>38</v>
      </c>
      <c r="P21" s="55" t="s">
        <v>39</v>
      </c>
      <c r="Q21" s="55" t="s">
        <v>40</v>
      </c>
      <c r="R21" s="55" t="s">
        <v>41</v>
      </c>
      <c r="S21" s="55" t="s">
        <v>42</v>
      </c>
      <c r="T21" s="55" t="s">
        <v>43</v>
      </c>
      <c r="U21" s="55" t="s">
        <v>44</v>
      </c>
      <c r="V21" s="55" t="s">
        <v>45</v>
      </c>
      <c r="W21" s="55" t="s">
        <v>46</v>
      </c>
      <c r="X21" s="55" t="s">
        <v>47</v>
      </c>
      <c r="Y21" s="55" t="s">
        <v>48</v>
      </c>
      <c r="Z21" s="56" t="s">
        <v>49</v>
      </c>
      <c r="AA21" s="56" t="s">
        <v>50</v>
      </c>
      <c r="AB21" s="56" t="s">
        <v>51</v>
      </c>
      <c r="AC21" s="56" t="s">
        <v>52</v>
      </c>
      <c r="AD21" s="57" t="s">
        <v>53</v>
      </c>
      <c r="AE21" s="6" t="s">
        <v>54</v>
      </c>
      <c r="AF21" s="6" t="s">
        <v>55</v>
      </c>
      <c r="AG21" s="6" t="s">
        <v>56</v>
      </c>
      <c r="AH21" s="6" t="s">
        <v>57</v>
      </c>
      <c r="AI21" s="6" t="s">
        <v>58</v>
      </c>
      <c r="AJ21" s="6" t="s">
        <v>59</v>
      </c>
    </row>
    <row r="22" spans="1:36" ht="16" x14ac:dyDescent="0.2">
      <c r="A22" s="47" t="s">
        <v>60</v>
      </c>
      <c r="B22" s="26"/>
      <c r="M22" s="27"/>
      <c r="AD22" s="18"/>
    </row>
    <row r="23" spans="1:36" x14ac:dyDescent="0.2">
      <c r="A23" s="18" t="s">
        <v>61</v>
      </c>
      <c r="B23" s="28">
        <f>C24/B18</f>
        <v>0</v>
      </c>
      <c r="C23" s="7">
        <f>D24/B18</f>
        <v>20</v>
      </c>
      <c r="D23" s="7">
        <f>E24/B18</f>
        <v>40</v>
      </c>
      <c r="E23" s="7">
        <f>F24/B18</f>
        <v>60</v>
      </c>
      <c r="F23" s="7">
        <f>G24/B18</f>
        <v>80</v>
      </c>
      <c r="G23" s="7">
        <f>H24/B18</f>
        <v>100</v>
      </c>
      <c r="H23" s="7">
        <f>I24/B18</f>
        <v>120</v>
      </c>
      <c r="I23" s="7">
        <f>J24/B18</f>
        <v>140</v>
      </c>
      <c r="J23" s="7">
        <f>K24/B18</f>
        <v>160</v>
      </c>
      <c r="K23" s="7">
        <f>L24/B18</f>
        <v>180</v>
      </c>
      <c r="L23" s="7">
        <f>M24/B18</f>
        <v>200</v>
      </c>
      <c r="M23" s="29">
        <f>N24/B18</f>
        <v>220</v>
      </c>
      <c r="N23" s="7">
        <f>O24/B18</f>
        <v>240</v>
      </c>
      <c r="O23" s="7">
        <f>P24/B18</f>
        <v>260</v>
      </c>
      <c r="P23" s="7">
        <f>Q24/B18</f>
        <v>280</v>
      </c>
      <c r="Q23" s="7">
        <f>R24/B18</f>
        <v>300</v>
      </c>
      <c r="R23" s="7">
        <f>S24/B18</f>
        <v>320</v>
      </c>
      <c r="S23" s="7">
        <f>T24/B18</f>
        <v>340</v>
      </c>
      <c r="T23" s="7">
        <f>U24/B18</f>
        <v>360</v>
      </c>
      <c r="U23" s="7">
        <f>V24/B18</f>
        <v>380</v>
      </c>
      <c r="V23" s="7">
        <f>W24/B18</f>
        <v>400</v>
      </c>
      <c r="W23" s="7">
        <f>X24/B18</f>
        <v>420</v>
      </c>
      <c r="X23" s="7">
        <f>Y24/B18</f>
        <v>440</v>
      </c>
      <c r="Y23" s="7">
        <f>Y24/B18</f>
        <v>440</v>
      </c>
      <c r="Z23" s="7">
        <f>SUM(B23:D23)</f>
        <v>60</v>
      </c>
      <c r="AA23" s="7">
        <f>SUM(E23:G23)</f>
        <v>240</v>
      </c>
      <c r="AB23" s="7">
        <f>SUM(H23:J23)</f>
        <v>420</v>
      </c>
      <c r="AC23" s="7">
        <f>SUM(K23:M23)</f>
        <v>600</v>
      </c>
      <c r="AD23" s="19">
        <f>SUM(Z23:AC23)</f>
        <v>1320</v>
      </c>
      <c r="AE23" s="7">
        <f>SUM(N23:P23)</f>
        <v>780</v>
      </c>
      <c r="AF23" s="7">
        <f>SUM(Q23:S23)</f>
        <v>960</v>
      </c>
      <c r="AG23" s="7">
        <f>SUM(T23:V23)</f>
        <v>1140</v>
      </c>
      <c r="AH23" s="7">
        <f>SUM(W23:Y23)</f>
        <v>1300</v>
      </c>
      <c r="AI23" s="8">
        <f>SUM(AE23:AH23)</f>
        <v>4180</v>
      </c>
      <c r="AJ23" s="9">
        <f>AD23+AI23</f>
        <v>5500</v>
      </c>
    </row>
    <row r="24" spans="1:36" x14ac:dyDescent="0.2">
      <c r="A24" s="18" t="s">
        <v>62</v>
      </c>
      <c r="B24" s="30">
        <v>0</v>
      </c>
      <c r="C24" s="10">
        <v>0</v>
      </c>
      <c r="D24" s="10">
        <v>1</v>
      </c>
      <c r="E24" s="10">
        <v>2</v>
      </c>
      <c r="F24" s="10">
        <v>3</v>
      </c>
      <c r="G24" s="10">
        <v>4</v>
      </c>
      <c r="H24" s="10">
        <v>5</v>
      </c>
      <c r="I24" s="10">
        <v>6</v>
      </c>
      <c r="J24" s="10">
        <v>7</v>
      </c>
      <c r="K24" s="10">
        <v>8</v>
      </c>
      <c r="L24" s="10">
        <v>9</v>
      </c>
      <c r="M24" s="31">
        <v>10</v>
      </c>
      <c r="N24" s="10">
        <v>11</v>
      </c>
      <c r="O24" s="10">
        <v>12</v>
      </c>
      <c r="P24" s="10">
        <v>13</v>
      </c>
      <c r="Q24" s="10">
        <v>14</v>
      </c>
      <c r="R24" s="10">
        <v>15</v>
      </c>
      <c r="S24" s="10">
        <v>16</v>
      </c>
      <c r="T24" s="10">
        <v>17</v>
      </c>
      <c r="U24" s="10">
        <v>18</v>
      </c>
      <c r="V24" s="10">
        <v>19</v>
      </c>
      <c r="W24" s="10">
        <v>20</v>
      </c>
      <c r="X24" s="10">
        <v>21</v>
      </c>
      <c r="Y24" s="10">
        <v>22</v>
      </c>
      <c r="Z24" s="7">
        <f>SUM(B24:D24)</f>
        <v>1</v>
      </c>
      <c r="AA24" s="7">
        <f>SUM(E24:G24)</f>
        <v>9</v>
      </c>
      <c r="AB24" s="7">
        <f>SUM(H24:J24)</f>
        <v>18</v>
      </c>
      <c r="AC24" s="7">
        <f>SUM(K24:M24)</f>
        <v>27</v>
      </c>
      <c r="AD24" s="19">
        <f>SUM(Z24:AC24)</f>
        <v>55</v>
      </c>
      <c r="AE24" s="7">
        <f>SUM(N24:P24)</f>
        <v>36</v>
      </c>
      <c r="AF24" s="7">
        <f>SUM(Q24:S24)</f>
        <v>45</v>
      </c>
      <c r="AG24" s="7">
        <f>SUM(T24:V24)</f>
        <v>54</v>
      </c>
      <c r="AH24" s="7">
        <f>SUM(W24:Y24)</f>
        <v>63</v>
      </c>
      <c r="AI24" s="8">
        <f>SUM(AE24:AH24)</f>
        <v>198</v>
      </c>
      <c r="AJ24" s="9">
        <f>AD24+AI24</f>
        <v>253</v>
      </c>
    </row>
    <row r="25" spans="1:36" x14ac:dyDescent="0.2">
      <c r="A25" s="18" t="s">
        <v>63</v>
      </c>
      <c r="B25" s="28">
        <f>B24</f>
        <v>0</v>
      </c>
      <c r="C25" s="7">
        <f>B25*(1-B13)+C24</f>
        <v>0</v>
      </c>
      <c r="D25" s="7">
        <f>C25*(1-B13)+D24</f>
        <v>1</v>
      </c>
      <c r="E25" s="7">
        <f>D25*(1-B13)+E24</f>
        <v>2.9849999999999999</v>
      </c>
      <c r="F25" s="7">
        <f>E25*(1-B13)+F24</f>
        <v>5.9402249999999999</v>
      </c>
      <c r="G25" s="7">
        <f>F25*(1-B13)+G24</f>
        <v>9.8511216250000011</v>
      </c>
      <c r="H25" s="7">
        <f>G25*(1-B13)+H24</f>
        <v>14.703354800625</v>
      </c>
      <c r="I25" s="7">
        <f>H25*(1-B13)+I24</f>
        <v>20.482804478615627</v>
      </c>
      <c r="J25" s="7">
        <f>I25*(1-B13)+J24</f>
        <v>27.175562411436392</v>
      </c>
      <c r="K25" s="7">
        <f>J25*(1-B13)+K24</f>
        <v>34.767928975264844</v>
      </c>
      <c r="L25" s="7">
        <f>K25*(1-B13)+L24</f>
        <v>43.246410040635872</v>
      </c>
      <c r="M25" s="29">
        <f>L25*(1-B13)+M24</f>
        <v>52.597713890026334</v>
      </c>
      <c r="N25" s="7">
        <f>M25*(1-B13)+N24</f>
        <v>62.808748181675938</v>
      </c>
      <c r="O25" s="7">
        <f>N25*(1-B13)+O24</f>
        <v>73.8666169589508</v>
      </c>
      <c r="P25" s="7">
        <f>O25*(1-B13)+P24</f>
        <v>85.758617704566532</v>
      </c>
      <c r="Q25" s="7">
        <f>P25*(1-B13)+Q24</f>
        <v>98.472238438998033</v>
      </c>
      <c r="R25" s="7">
        <f>Q25*(1-B13)+R24</f>
        <v>111.99515486241306</v>
      </c>
      <c r="S25" s="7">
        <f>R25*(1-B13)+S24</f>
        <v>126.31522753947687</v>
      </c>
      <c r="T25" s="7">
        <f>S25*(1-B13)+T24</f>
        <v>141.4204991263847</v>
      </c>
      <c r="U25" s="7">
        <f>T25*(1-B13)+U24</f>
        <v>157.29919163948892</v>
      </c>
      <c r="V25" s="7">
        <f>U25*(1-B13)+V24</f>
        <v>173.93970376489659</v>
      </c>
      <c r="W25" s="7">
        <f>V25*(1-B13)+W24</f>
        <v>191.33060820842314</v>
      </c>
      <c r="X25" s="7">
        <f>W25*(1-B13)+X24</f>
        <v>209.46064908529681</v>
      </c>
      <c r="Y25" s="7">
        <f>X25*(1-B13)+Y24</f>
        <v>228.31873934901736</v>
      </c>
      <c r="Z25" s="7">
        <f>D25</f>
        <v>1</v>
      </c>
      <c r="AA25" s="7">
        <f>G25</f>
        <v>9.8511216250000011</v>
      </c>
      <c r="AB25" s="7">
        <f>J25</f>
        <v>27.175562411436392</v>
      </c>
      <c r="AC25" s="7">
        <f>M25</f>
        <v>52.597713890026334</v>
      </c>
      <c r="AD25" s="20">
        <f>M25</f>
        <v>52.597713890026334</v>
      </c>
      <c r="AE25" s="7">
        <f>P25</f>
        <v>85.758617704566532</v>
      </c>
      <c r="AF25" s="7">
        <f>S25</f>
        <v>126.31522753947687</v>
      </c>
      <c r="AG25" s="7">
        <f>V25</f>
        <v>173.93970376489659</v>
      </c>
      <c r="AH25" s="7">
        <f>Y25</f>
        <v>228.31873934901736</v>
      </c>
      <c r="AI25" s="7">
        <f>Y25</f>
        <v>228.31873934901736</v>
      </c>
      <c r="AJ25" s="7">
        <f>Y25</f>
        <v>228.31873934901736</v>
      </c>
    </row>
    <row r="26" spans="1:36" x14ac:dyDescent="0.2">
      <c r="A26" s="18" t="s">
        <v>64</v>
      </c>
      <c r="B26" s="32">
        <f>B25*B5/12</f>
        <v>0</v>
      </c>
      <c r="C26" s="11">
        <f>B26*(1-B13)*(1+B10)+C24*B5/12</f>
        <v>0</v>
      </c>
      <c r="D26" s="11">
        <f>C26*(1-B13)*(1+B10)+D24*B5/12</f>
        <v>1666.6666666666667</v>
      </c>
      <c r="E26" s="11">
        <f>D26*(1-B13)*(1+B10)+E24*B5/12</f>
        <v>4988.9541666666664</v>
      </c>
      <c r="F26" s="11">
        <f>E26*(1-B13)*(1+B10)+F24*B5/12</f>
        <v>9955.8898729270841</v>
      </c>
      <c r="G26" s="11">
        <f>F26*(1-B13)*(1+B10)+G24*B5/12</f>
        <v>16556.573879460928</v>
      </c>
      <c r="H26" s="11">
        <f>G26*(1-B13)*(1+B10)+H24*B5/12</f>
        <v>24780.178519408131</v>
      </c>
      <c r="I26" s="11">
        <f>H26*(1-B13)*(1+B10)+I24*B5/12</f>
        <v>34615.947886270747</v>
      </c>
      <c r="J26" s="11">
        <f>I26*(1-B13)*(1+B10)+J24*B5/12</f>
        <v>46053.197358321151</v>
      </c>
      <c r="K26" s="11">
        <f>J26*(1-B13)*(1+B10)+K24*B5/12</f>
        <v>59081.313126162211</v>
      </c>
      <c r="L26" s="11">
        <f>K26*(1-B13)*(1+B10)+L24*B5/12</f>
        <v>73689.751723418565</v>
      </c>
      <c r="M26" s="33">
        <f>L26*(1-B13)*(1+B10)+M24*B5/12</f>
        <v>89868.03956053828</v>
      </c>
      <c r="N26" s="11">
        <f>M26*(1-B13)*(1+B10)+N24*B5/12</f>
        <v>107605.77246168414</v>
      </c>
      <c r="O26" s="11">
        <f>N26*(1-B13)*(1+B10)+O24*B5/12</f>
        <v>126892.61520469433</v>
      </c>
      <c r="P26" s="11">
        <f>O26*(1-B13)*(1+B10)+P24*B5/12</f>
        <v>147718.30106409188</v>
      </c>
      <c r="Q26" s="11">
        <f>P26*(1-B13)*(1+B10)+Q24*B5/12</f>
        <v>170072.63135712294</v>
      </c>
      <c r="R26" s="11">
        <f>Q26*(1-B13)*(1+B10)+R24*B5/12</f>
        <v>193945.47499280359</v>
      </c>
      <c r="S26" s="11">
        <f>R26*(1-B13)*(1+B10)+S24*B5/12</f>
        <v>219326.76802395543</v>
      </c>
      <c r="T26" s="11">
        <f>S26*(1-B13)*(1+B10)+T24*B5/12</f>
        <v>246206.51320221002</v>
      </c>
      <c r="U26" s="11">
        <f>T26*(1-B13)*(1+B10)+U24*B5/12</f>
        <v>274574.77953596239</v>
      </c>
      <c r="V26" s="11">
        <f>U26*(1-B13)*(1+B10)+V24*B5/12</f>
        <v>304421.70185125445</v>
      </c>
      <c r="W26" s="11">
        <f>V26*(1-B13)*(1+B10)+W24*B5/12</f>
        <v>335737.48035556858</v>
      </c>
      <c r="X26" s="11">
        <f>W26*(1-B13)*(1+B10)+X24*B5/12</f>
        <v>368512.38020451198</v>
      </c>
      <c r="Y26" s="11">
        <f>X26*(1-B13)*(1+B10)+Y24*B5/12</f>
        <v>402736.73107137321</v>
      </c>
      <c r="Z26" s="11">
        <f>SUM(B26:D26)</f>
        <v>1666.6666666666667</v>
      </c>
      <c r="AA26" s="11">
        <f>SUM(E26:G26)</f>
        <v>31501.417919054678</v>
      </c>
      <c r="AB26" s="11">
        <f>SUM(H26:J26)</f>
        <v>105449.32376400003</v>
      </c>
      <c r="AC26" s="11">
        <f>SUM(K26:M26)</f>
        <v>222639.10441011906</v>
      </c>
      <c r="AD26" s="21">
        <f>SUM(Z26:AC26)</f>
        <v>361256.51275984047</v>
      </c>
      <c r="AE26" s="11">
        <f>SUM(N26:P26)</f>
        <v>382216.68873047037</v>
      </c>
      <c r="AF26" s="11">
        <f>SUM(Q26:S26)</f>
        <v>583344.87437388196</v>
      </c>
      <c r="AG26" s="11">
        <f>SUM(T26:V26)</f>
        <v>825202.99458942679</v>
      </c>
      <c r="AH26" s="11">
        <f>SUM(W26:Y26)</f>
        <v>1106986.5916314537</v>
      </c>
      <c r="AI26" s="12">
        <f>SUM(AE26:AH26)</f>
        <v>2897751.149325233</v>
      </c>
      <c r="AJ26" s="13">
        <f>AD26+AI26</f>
        <v>3259007.6620850735</v>
      </c>
    </row>
    <row r="27" spans="1:36" x14ac:dyDescent="0.2">
      <c r="A27" s="48" t="s">
        <v>65</v>
      </c>
      <c r="B27" s="34">
        <f t="shared" ref="B27:Y27" si="0">B26*12</f>
        <v>0</v>
      </c>
      <c r="C27" s="14">
        <f t="shared" si="0"/>
        <v>0</v>
      </c>
      <c r="D27" s="14">
        <f t="shared" si="0"/>
        <v>20000</v>
      </c>
      <c r="E27" s="14">
        <f t="shared" si="0"/>
        <v>59867.45</v>
      </c>
      <c r="F27" s="14">
        <f t="shared" si="0"/>
        <v>119470.67847512501</v>
      </c>
      <c r="G27" s="14">
        <f t="shared" si="0"/>
        <v>198678.88655353113</v>
      </c>
      <c r="H27" s="14">
        <f t="shared" si="0"/>
        <v>297362.14223289758</v>
      </c>
      <c r="I27" s="14">
        <f t="shared" si="0"/>
        <v>415391.37463524897</v>
      </c>
      <c r="J27" s="14">
        <f t="shared" si="0"/>
        <v>552638.36829985376</v>
      </c>
      <c r="K27" s="14">
        <f t="shared" si="0"/>
        <v>708975.7575139465</v>
      </c>
      <c r="L27" s="14">
        <f t="shared" si="0"/>
        <v>884277.02068102278</v>
      </c>
      <c r="M27" s="35">
        <f t="shared" si="0"/>
        <v>1078416.4747264595</v>
      </c>
      <c r="N27" s="14">
        <f t="shared" si="0"/>
        <v>1291269.2695402098</v>
      </c>
      <c r="O27" s="14">
        <f t="shared" si="0"/>
        <v>1522711.382456332</v>
      </c>
      <c r="P27" s="14">
        <f t="shared" si="0"/>
        <v>1772619.6127691027</v>
      </c>
      <c r="Q27" s="14">
        <f t="shared" si="0"/>
        <v>2040871.5762854754</v>
      </c>
      <c r="R27" s="14">
        <f t="shared" si="0"/>
        <v>2327345.6999136433</v>
      </c>
      <c r="S27" s="14">
        <f t="shared" si="0"/>
        <v>2631921.2162874653</v>
      </c>
      <c r="T27" s="14">
        <f t="shared" si="0"/>
        <v>2954478.1584265204</v>
      </c>
      <c r="U27" s="14">
        <f t="shared" si="0"/>
        <v>3294897.3544315486</v>
      </c>
      <c r="V27" s="14">
        <f t="shared" si="0"/>
        <v>3653060.4222150533</v>
      </c>
      <c r="W27" s="14">
        <f t="shared" si="0"/>
        <v>4028849.764266823</v>
      </c>
      <c r="X27" s="14">
        <f t="shared" si="0"/>
        <v>4422148.5624541435</v>
      </c>
      <c r="Y27" s="14">
        <f t="shared" si="0"/>
        <v>4832840.7728564786</v>
      </c>
      <c r="Z27" s="14">
        <f>D27</f>
        <v>20000</v>
      </c>
      <c r="AA27" s="14">
        <f>G27</f>
        <v>198678.88655353113</v>
      </c>
      <c r="AB27" s="14">
        <f>J27</f>
        <v>552638.36829985376</v>
      </c>
      <c r="AC27" s="14">
        <f>M27</f>
        <v>1078416.4747264595</v>
      </c>
      <c r="AD27" s="22">
        <f>M27</f>
        <v>1078416.4747264595</v>
      </c>
      <c r="AE27" s="14">
        <f>P27</f>
        <v>1772619.6127691027</v>
      </c>
      <c r="AF27" s="14">
        <f>S27</f>
        <v>2631921.2162874653</v>
      </c>
      <c r="AG27" s="14">
        <f>V27</f>
        <v>3653060.4222150533</v>
      </c>
      <c r="AH27" s="14">
        <f>Y27</f>
        <v>4832840.7728564786</v>
      </c>
      <c r="AI27" s="14">
        <f>Y27</f>
        <v>4832840.7728564786</v>
      </c>
      <c r="AJ27" s="14">
        <f>Y27</f>
        <v>4832840.7728564786</v>
      </c>
    </row>
    <row r="28" spans="1:36" x14ac:dyDescent="0.2">
      <c r="A28" s="18"/>
      <c r="B28" s="26"/>
      <c r="M28" s="27"/>
      <c r="AD28" s="18"/>
    </row>
    <row r="29" spans="1:36" ht="16" x14ac:dyDescent="0.2">
      <c r="A29" s="47" t="s">
        <v>66</v>
      </c>
      <c r="B29" s="26"/>
      <c r="M29" s="27"/>
      <c r="AD29" s="18"/>
    </row>
    <row r="30" spans="1:36" x14ac:dyDescent="0.2">
      <c r="A30" s="18" t="s">
        <v>67</v>
      </c>
      <c r="B30" s="28">
        <f>C31/B18</f>
        <v>0</v>
      </c>
      <c r="C30" s="7">
        <f>D31/B18</f>
        <v>0</v>
      </c>
      <c r="D30" s="7">
        <f>E31/B18</f>
        <v>0</v>
      </c>
      <c r="E30" s="7">
        <f>F31/B18</f>
        <v>0</v>
      </c>
      <c r="F30" s="7">
        <f>G31/B18</f>
        <v>0</v>
      </c>
      <c r="G30" s="7">
        <f>H31/B18</f>
        <v>0</v>
      </c>
      <c r="H30" s="7">
        <f>I31/B18</f>
        <v>0</v>
      </c>
      <c r="I30" s="7">
        <f>J31/B18</f>
        <v>0</v>
      </c>
      <c r="J30" s="7">
        <f>K31/B18</f>
        <v>0</v>
      </c>
      <c r="K30" s="7">
        <f>L31/B18</f>
        <v>0</v>
      </c>
      <c r="L30" s="7">
        <f>M31/B18</f>
        <v>0</v>
      </c>
      <c r="M30" s="29">
        <f>N31/B18</f>
        <v>0</v>
      </c>
      <c r="N30" s="7">
        <f>O31/B18</f>
        <v>0</v>
      </c>
      <c r="O30" s="7">
        <f>P31/B18</f>
        <v>0</v>
      </c>
      <c r="P30" s="7">
        <f>Q31/B18</f>
        <v>0</v>
      </c>
      <c r="Q30" s="7">
        <f>R31/B18</f>
        <v>0</v>
      </c>
      <c r="R30" s="7">
        <f>S31/B18</f>
        <v>0</v>
      </c>
      <c r="S30" s="7">
        <f>T31/B18</f>
        <v>0</v>
      </c>
      <c r="T30" s="7">
        <f>U31/B18</f>
        <v>0</v>
      </c>
      <c r="U30" s="7">
        <f>V31/B18</f>
        <v>0</v>
      </c>
      <c r="V30" s="7">
        <f>W31/B18</f>
        <v>0</v>
      </c>
      <c r="W30" s="7">
        <f>X31/B18</f>
        <v>0</v>
      </c>
      <c r="X30" s="7">
        <f>Y31/B18</f>
        <v>0</v>
      </c>
      <c r="Y30" s="7">
        <f>Y31/B18</f>
        <v>0</v>
      </c>
      <c r="Z30" s="7">
        <f>SUM(B30:D30)</f>
        <v>0</v>
      </c>
      <c r="AA30" s="7">
        <f>SUM(E30:G30)</f>
        <v>0</v>
      </c>
      <c r="AB30" s="7">
        <f>SUM(H30:J30)</f>
        <v>0</v>
      </c>
      <c r="AC30" s="7">
        <f>SUM(K30:M30)</f>
        <v>0</v>
      </c>
      <c r="AD30" s="19">
        <f>SUM(Z30:AC30)</f>
        <v>0</v>
      </c>
      <c r="AE30" s="7">
        <f>SUM(N30:P30)</f>
        <v>0</v>
      </c>
      <c r="AF30" s="7">
        <f>SUM(Q30:S30)</f>
        <v>0</v>
      </c>
      <c r="AG30" s="7">
        <f>SUM(T30:V30)</f>
        <v>0</v>
      </c>
      <c r="AH30" s="7">
        <f>SUM(W30:Y30)</f>
        <v>0</v>
      </c>
      <c r="AI30" s="8">
        <f>SUM(AE30:AH30)</f>
        <v>0</v>
      </c>
      <c r="AJ30" s="9">
        <f>AD30+AI30</f>
        <v>0</v>
      </c>
    </row>
    <row r="31" spans="1:36" x14ac:dyDescent="0.2">
      <c r="A31" s="18" t="s">
        <v>68</v>
      </c>
      <c r="B31" s="36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37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7">
        <f>SUM(B31:D31)</f>
        <v>0</v>
      </c>
      <c r="AA31" s="7">
        <f>SUM(E31:G31)</f>
        <v>0</v>
      </c>
      <c r="AB31" s="7">
        <f>SUM(H31:J31)</f>
        <v>0</v>
      </c>
      <c r="AC31" s="7">
        <f>SUM(K31:M31)</f>
        <v>0</v>
      </c>
      <c r="AD31" s="19">
        <f>SUM(Z31:AC31)</f>
        <v>0</v>
      </c>
      <c r="AE31" s="7">
        <f>SUM(N31:P31)</f>
        <v>0</v>
      </c>
      <c r="AF31" s="7">
        <f>SUM(Q31:S31)</f>
        <v>0</v>
      </c>
      <c r="AG31" s="7">
        <f>SUM(T31:V31)</f>
        <v>0</v>
      </c>
      <c r="AH31" s="7">
        <f>SUM(W31:Y31)</f>
        <v>0</v>
      </c>
      <c r="AI31" s="8">
        <f>SUM(AE31:AH31)</f>
        <v>0</v>
      </c>
      <c r="AJ31" s="9">
        <f>AD31+AI31</f>
        <v>0</v>
      </c>
    </row>
    <row r="32" spans="1:36" x14ac:dyDescent="0.2">
      <c r="A32" s="18" t="s">
        <v>69</v>
      </c>
      <c r="B32" s="28">
        <f>B31</f>
        <v>0</v>
      </c>
      <c r="C32" s="7">
        <f>B32*(1-B14)+C31</f>
        <v>0</v>
      </c>
      <c r="D32" s="7">
        <f>C32*(1-B14)+D31</f>
        <v>0</v>
      </c>
      <c r="E32" s="7">
        <f>D32*(1-B14)+E31</f>
        <v>0</v>
      </c>
      <c r="F32" s="7">
        <f>E32*(1-B14)+F31</f>
        <v>0</v>
      </c>
      <c r="G32" s="7">
        <f>F32*(1-B14)+G31</f>
        <v>0</v>
      </c>
      <c r="H32" s="7">
        <f>G32*(1-B14)+H31</f>
        <v>0</v>
      </c>
      <c r="I32" s="7">
        <f>H32*(1-B14)+I31</f>
        <v>0</v>
      </c>
      <c r="J32" s="7">
        <f>I32*(1-B14)+J31</f>
        <v>0</v>
      </c>
      <c r="K32" s="7">
        <f>J32*(1-B14)+K31</f>
        <v>0</v>
      </c>
      <c r="L32" s="7">
        <f>K32*(1-B14)+L31</f>
        <v>0</v>
      </c>
      <c r="M32" s="29">
        <f>L32*(1-B14)+M31</f>
        <v>0</v>
      </c>
      <c r="N32" s="7">
        <f>M32*(1-B14)+N31</f>
        <v>0</v>
      </c>
      <c r="O32" s="7">
        <f>N32*(1-B14)+O31</f>
        <v>0</v>
      </c>
      <c r="P32" s="7">
        <f>O32*(1-B14)+P31</f>
        <v>0</v>
      </c>
      <c r="Q32" s="7">
        <f>P32*(1-B14)+Q31</f>
        <v>0</v>
      </c>
      <c r="R32" s="7">
        <f>Q32*(1-B14)+R31</f>
        <v>0</v>
      </c>
      <c r="S32" s="7">
        <f>R32*(1-B14)+S31</f>
        <v>0</v>
      </c>
      <c r="T32" s="7">
        <f>S32*(1-B14)+T31</f>
        <v>0</v>
      </c>
      <c r="U32" s="7">
        <f>T32*(1-B14)+U31</f>
        <v>0</v>
      </c>
      <c r="V32" s="7">
        <f>U32*(1-B14)+V31</f>
        <v>0</v>
      </c>
      <c r="W32" s="7">
        <f>V32*(1-B14)+W31</f>
        <v>0</v>
      </c>
      <c r="X32" s="7">
        <f>W32*(1-B14)+X31</f>
        <v>0</v>
      </c>
      <c r="Y32" s="7">
        <f>X32*(1-B14)+Y31</f>
        <v>0</v>
      </c>
      <c r="Z32" s="7">
        <f>D32</f>
        <v>0</v>
      </c>
      <c r="AA32" s="7">
        <f>G32</f>
        <v>0</v>
      </c>
      <c r="AB32" s="7">
        <f>J32</f>
        <v>0</v>
      </c>
      <c r="AC32" s="7">
        <f>M32</f>
        <v>0</v>
      </c>
      <c r="AD32" s="20">
        <f>M32</f>
        <v>0</v>
      </c>
      <c r="AE32" s="7">
        <f>P32</f>
        <v>0</v>
      </c>
      <c r="AF32" s="7">
        <f>S32</f>
        <v>0</v>
      </c>
      <c r="AG32" s="7">
        <f>V32</f>
        <v>0</v>
      </c>
      <c r="AH32" s="7">
        <f>Y32</f>
        <v>0</v>
      </c>
      <c r="AI32" s="7">
        <f>Y32</f>
        <v>0</v>
      </c>
      <c r="AJ32" s="7">
        <f>Y32</f>
        <v>0</v>
      </c>
    </row>
    <row r="33" spans="1:36" x14ac:dyDescent="0.2">
      <c r="A33" s="18" t="s">
        <v>70</v>
      </c>
      <c r="B33" s="32">
        <f>B32*B6/12</f>
        <v>0</v>
      </c>
      <c r="C33" s="11">
        <f>B33*(1-B14)*(1+B11)+C31*B6/12</f>
        <v>0</v>
      </c>
      <c r="D33" s="11">
        <f>C33*(1-B14)*(1+B11)+D31*B6/12</f>
        <v>0</v>
      </c>
      <c r="E33" s="11">
        <f>D33*(1-B14)*(1+B11)+E31*B6/12</f>
        <v>0</v>
      </c>
      <c r="F33" s="11">
        <f>E33*(1-B14)*(1+B11)+F31*B6/12</f>
        <v>0</v>
      </c>
      <c r="G33" s="11">
        <f>F33*(1-B14)*(1+B11)+G31*B6/12</f>
        <v>0</v>
      </c>
      <c r="H33" s="11">
        <f>G33*(1-B14)*(1+B11)+H31*B6/12</f>
        <v>0</v>
      </c>
      <c r="I33" s="11">
        <f>H33*(1-B14)*(1+B11)+I31*B6/12</f>
        <v>0</v>
      </c>
      <c r="J33" s="11">
        <f>I33*(1-B14)*(1+B11)+J31*B6/12</f>
        <v>0</v>
      </c>
      <c r="K33" s="11">
        <f>J33*(1-B14)*(1+B11)+K31*B6/12</f>
        <v>0</v>
      </c>
      <c r="L33" s="11">
        <f>K33*(1-B14)*(1+B11)+L31*B6/12</f>
        <v>0</v>
      </c>
      <c r="M33" s="33">
        <f>L33*(1-B14)*(1+B11)+M31*B6/12</f>
        <v>0</v>
      </c>
      <c r="N33" s="11">
        <f>M33*(1-B14)*(1+B11)+N31*B6/12</f>
        <v>0</v>
      </c>
      <c r="O33" s="11">
        <f>N33*(1-B14)*(1+B11)+O31*B6/12</f>
        <v>0</v>
      </c>
      <c r="P33" s="11">
        <f>O33*(1-B14)*(1+B11)+P31*B6/12</f>
        <v>0</v>
      </c>
      <c r="Q33" s="11">
        <f>P33*(1-B14)*(1+B11)+Q31*B6/12</f>
        <v>0</v>
      </c>
      <c r="R33" s="11">
        <f>Q33*(1-B14)*(1+B11)+R31*B6/12</f>
        <v>0</v>
      </c>
      <c r="S33" s="11">
        <f>R33*(1-B14)*(1+B11)+S31*B6/12</f>
        <v>0</v>
      </c>
      <c r="T33" s="11">
        <f>S33*(1-B14)*(1+B11)+T31*B6/12</f>
        <v>0</v>
      </c>
      <c r="U33" s="11">
        <f>T33*(1-B14)*(1+B11)+U31*B6/12</f>
        <v>0</v>
      </c>
      <c r="V33" s="11">
        <f>U33*(1-B14)*(1+B11)+V31*B6/12</f>
        <v>0</v>
      </c>
      <c r="W33" s="11">
        <f>V33*(1-B14)*(1+B11)+W31*B6/12</f>
        <v>0</v>
      </c>
      <c r="X33" s="11">
        <f>W33*(1-B14)*(1+B11)+X31*B6/12</f>
        <v>0</v>
      </c>
      <c r="Y33" s="11">
        <f>X33*(1-B14)*(1+B11)+Y31*B6/12</f>
        <v>0</v>
      </c>
      <c r="Z33" s="11">
        <f>SUM(B33:D33)</f>
        <v>0</v>
      </c>
      <c r="AA33" s="11">
        <f>SUM(E33:G33)</f>
        <v>0</v>
      </c>
      <c r="AB33" s="11">
        <f>SUM(H33:J33)</f>
        <v>0</v>
      </c>
      <c r="AC33" s="11">
        <f>SUM(K33:M33)</f>
        <v>0</v>
      </c>
      <c r="AD33" s="21">
        <f>SUM(Z33:AC33)</f>
        <v>0</v>
      </c>
      <c r="AE33" s="11">
        <f>SUM(N33:P33)</f>
        <v>0</v>
      </c>
      <c r="AF33" s="11">
        <f>SUM(Q33:S33)</f>
        <v>0</v>
      </c>
      <c r="AG33" s="11">
        <f>SUM(T33:V33)</f>
        <v>0</v>
      </c>
      <c r="AH33" s="11">
        <f>SUM(W33:Y33)</f>
        <v>0</v>
      </c>
      <c r="AI33" s="12">
        <f>SUM(AE33:AH33)</f>
        <v>0</v>
      </c>
      <c r="AJ33" s="13">
        <f>AD33+AI33</f>
        <v>0</v>
      </c>
    </row>
    <row r="34" spans="1:36" x14ac:dyDescent="0.2">
      <c r="A34" s="48" t="s">
        <v>71</v>
      </c>
      <c r="B34" s="34">
        <f t="shared" ref="B34:Y34" si="1">B33*12</f>
        <v>0</v>
      </c>
      <c r="C34" s="14">
        <f t="shared" si="1"/>
        <v>0</v>
      </c>
      <c r="D34" s="14">
        <f t="shared" si="1"/>
        <v>0</v>
      </c>
      <c r="E34" s="14">
        <f t="shared" si="1"/>
        <v>0</v>
      </c>
      <c r="F34" s="14">
        <f t="shared" si="1"/>
        <v>0</v>
      </c>
      <c r="G34" s="14">
        <f t="shared" si="1"/>
        <v>0</v>
      </c>
      <c r="H34" s="14">
        <f t="shared" si="1"/>
        <v>0</v>
      </c>
      <c r="I34" s="14">
        <f t="shared" si="1"/>
        <v>0</v>
      </c>
      <c r="J34" s="14">
        <f t="shared" si="1"/>
        <v>0</v>
      </c>
      <c r="K34" s="14">
        <f t="shared" si="1"/>
        <v>0</v>
      </c>
      <c r="L34" s="14">
        <f t="shared" si="1"/>
        <v>0</v>
      </c>
      <c r="M34" s="35">
        <f t="shared" si="1"/>
        <v>0</v>
      </c>
      <c r="N34" s="14">
        <f t="shared" si="1"/>
        <v>0</v>
      </c>
      <c r="O34" s="14">
        <f t="shared" si="1"/>
        <v>0</v>
      </c>
      <c r="P34" s="14">
        <f t="shared" si="1"/>
        <v>0</v>
      </c>
      <c r="Q34" s="14">
        <f t="shared" si="1"/>
        <v>0</v>
      </c>
      <c r="R34" s="14">
        <f t="shared" si="1"/>
        <v>0</v>
      </c>
      <c r="S34" s="14">
        <f t="shared" si="1"/>
        <v>0</v>
      </c>
      <c r="T34" s="14">
        <f t="shared" si="1"/>
        <v>0</v>
      </c>
      <c r="U34" s="14">
        <f t="shared" si="1"/>
        <v>0</v>
      </c>
      <c r="V34" s="14">
        <f t="shared" si="1"/>
        <v>0</v>
      </c>
      <c r="W34" s="14">
        <f t="shared" si="1"/>
        <v>0</v>
      </c>
      <c r="X34" s="14">
        <f t="shared" si="1"/>
        <v>0</v>
      </c>
      <c r="Y34" s="14">
        <f t="shared" si="1"/>
        <v>0</v>
      </c>
      <c r="Z34" s="14">
        <f>D34</f>
        <v>0</v>
      </c>
      <c r="AA34" s="14">
        <f>G34</f>
        <v>0</v>
      </c>
      <c r="AB34" s="14">
        <f>J34</f>
        <v>0</v>
      </c>
      <c r="AC34" s="14">
        <f>M34</f>
        <v>0</v>
      </c>
      <c r="AD34" s="22">
        <f>M34</f>
        <v>0</v>
      </c>
      <c r="AE34" s="14">
        <f>P34</f>
        <v>0</v>
      </c>
      <c r="AF34" s="14">
        <f>S34</f>
        <v>0</v>
      </c>
      <c r="AG34" s="14">
        <f>V34</f>
        <v>0</v>
      </c>
      <c r="AH34" s="14">
        <f>Y34</f>
        <v>0</v>
      </c>
      <c r="AI34" s="14">
        <f>Y34</f>
        <v>0</v>
      </c>
      <c r="AJ34" s="14">
        <f>Y34</f>
        <v>0</v>
      </c>
    </row>
    <row r="35" spans="1:36" x14ac:dyDescent="0.2">
      <c r="A35" s="18"/>
      <c r="B35" s="26"/>
      <c r="M35" s="27"/>
      <c r="AD35" s="18"/>
    </row>
    <row r="36" spans="1:36" ht="16" x14ac:dyDescent="0.2">
      <c r="A36" s="47" t="s">
        <v>72</v>
      </c>
      <c r="B36" s="26"/>
      <c r="M36" s="27"/>
      <c r="AD36" s="18"/>
    </row>
    <row r="37" spans="1:36" x14ac:dyDescent="0.2">
      <c r="A37" s="18" t="s">
        <v>73</v>
      </c>
      <c r="B37" s="28">
        <f>C38/B18</f>
        <v>0</v>
      </c>
      <c r="C37" s="7">
        <f>D38/B18</f>
        <v>0</v>
      </c>
      <c r="D37" s="7">
        <f>E38/B18</f>
        <v>0</v>
      </c>
      <c r="E37" s="7">
        <f>F38/B18</f>
        <v>0</v>
      </c>
      <c r="F37" s="7">
        <f>G38/B18</f>
        <v>0</v>
      </c>
      <c r="G37" s="7">
        <f>H38/B18</f>
        <v>0</v>
      </c>
      <c r="H37" s="7">
        <f>I38/B18</f>
        <v>0</v>
      </c>
      <c r="I37" s="7">
        <f>J38/B18</f>
        <v>0</v>
      </c>
      <c r="J37" s="7">
        <f>K38/B18</f>
        <v>0</v>
      </c>
      <c r="K37" s="7">
        <f>L38/B18</f>
        <v>0</v>
      </c>
      <c r="L37" s="7">
        <f>M38/B18</f>
        <v>0</v>
      </c>
      <c r="M37" s="29">
        <f>N38/B18</f>
        <v>0</v>
      </c>
      <c r="N37" s="7">
        <f>O38/B18</f>
        <v>0</v>
      </c>
      <c r="O37" s="7">
        <f>P38/B18</f>
        <v>0</v>
      </c>
      <c r="P37" s="7">
        <f>Q38/B18</f>
        <v>0</v>
      </c>
      <c r="Q37" s="7">
        <f>R38/B18</f>
        <v>0</v>
      </c>
      <c r="R37" s="7">
        <f>S38/B18</f>
        <v>0</v>
      </c>
      <c r="S37" s="7">
        <f>T38/B18</f>
        <v>0</v>
      </c>
      <c r="T37" s="7">
        <f>U38/B18</f>
        <v>0</v>
      </c>
      <c r="U37" s="7">
        <f>V38/B18</f>
        <v>0</v>
      </c>
      <c r="V37" s="7">
        <f>W38/B18</f>
        <v>0</v>
      </c>
      <c r="W37" s="7">
        <f>X38/B18</f>
        <v>0</v>
      </c>
      <c r="X37" s="7">
        <f>Y38/B18</f>
        <v>0</v>
      </c>
      <c r="Y37" s="7">
        <f>Y38/B18</f>
        <v>0</v>
      </c>
      <c r="Z37" s="7">
        <f>SUM(B37:D37)</f>
        <v>0</v>
      </c>
      <c r="AA37" s="7">
        <f>SUM(E37:G37)</f>
        <v>0</v>
      </c>
      <c r="AB37" s="7">
        <f>SUM(H37:J37)</f>
        <v>0</v>
      </c>
      <c r="AC37" s="7">
        <f>SUM(K37:M37)</f>
        <v>0</v>
      </c>
      <c r="AD37" s="19">
        <f>SUM(Z37:AC37)</f>
        <v>0</v>
      </c>
      <c r="AE37" s="7">
        <f>SUM(N37:P37)</f>
        <v>0</v>
      </c>
      <c r="AF37" s="7">
        <f>SUM(Q37:S37)</f>
        <v>0</v>
      </c>
      <c r="AG37" s="7">
        <f>SUM(T37:V37)</f>
        <v>0</v>
      </c>
      <c r="AH37" s="7">
        <f>SUM(W37:Y37)</f>
        <v>0</v>
      </c>
      <c r="AI37" s="8">
        <f>SUM(AE37:AH37)</f>
        <v>0</v>
      </c>
      <c r="AJ37" s="9">
        <f>AD37+AI37</f>
        <v>0</v>
      </c>
    </row>
    <row r="38" spans="1:36" x14ac:dyDescent="0.2">
      <c r="A38" s="18" t="s">
        <v>74</v>
      </c>
      <c r="B38" s="36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37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7">
        <f>SUM(B38:D38)</f>
        <v>0</v>
      </c>
      <c r="AA38" s="7">
        <f>SUM(E38:G38)</f>
        <v>0</v>
      </c>
      <c r="AB38" s="7">
        <f>SUM(H38:J38)</f>
        <v>0</v>
      </c>
      <c r="AC38" s="7">
        <f>SUM(K38:M38)</f>
        <v>0</v>
      </c>
      <c r="AD38" s="19">
        <f>SUM(Z38:AC38)</f>
        <v>0</v>
      </c>
      <c r="AE38" s="7">
        <f>SUM(N38:P38)</f>
        <v>0</v>
      </c>
      <c r="AF38" s="7">
        <f>SUM(Q38:S38)</f>
        <v>0</v>
      </c>
      <c r="AG38" s="7">
        <f>SUM(T38:V38)</f>
        <v>0</v>
      </c>
      <c r="AH38" s="7">
        <f>SUM(W38:Y38)</f>
        <v>0</v>
      </c>
      <c r="AI38" s="8">
        <f>SUM(AE38:AH38)</f>
        <v>0</v>
      </c>
      <c r="AJ38" s="9">
        <f>AD38+AI38</f>
        <v>0</v>
      </c>
    </row>
    <row r="39" spans="1:36" x14ac:dyDescent="0.2">
      <c r="A39" s="18" t="s">
        <v>75</v>
      </c>
      <c r="B39" s="28">
        <f>B38</f>
        <v>0</v>
      </c>
      <c r="C39" s="7">
        <f>B39*(1-B15)+C38</f>
        <v>0</v>
      </c>
      <c r="D39" s="7">
        <f>C39*(1-B15)+D38</f>
        <v>0</v>
      </c>
      <c r="E39" s="7">
        <f>D39*(1-B15)+E38</f>
        <v>0</v>
      </c>
      <c r="F39" s="7">
        <f>E39*(1-B15)+F38</f>
        <v>0</v>
      </c>
      <c r="G39" s="7">
        <f>F39*(1-B15)+G38</f>
        <v>0</v>
      </c>
      <c r="H39" s="7">
        <f>G39*(1-B15)+H38</f>
        <v>0</v>
      </c>
      <c r="I39" s="7">
        <f>H39*(1-B15)+I38</f>
        <v>0</v>
      </c>
      <c r="J39" s="7">
        <f>I39*(1-B15)+J38</f>
        <v>0</v>
      </c>
      <c r="K39" s="7">
        <f>J39*(1-B15)+K38</f>
        <v>0</v>
      </c>
      <c r="L39" s="7">
        <f>K39*(1-B15)+L38</f>
        <v>0</v>
      </c>
      <c r="M39" s="29">
        <f>L39*(1-B15)+M38</f>
        <v>0</v>
      </c>
      <c r="N39" s="7">
        <f>M39*(1-B15)+N38</f>
        <v>0</v>
      </c>
      <c r="O39" s="7">
        <f>N39*(1-B15)+O38</f>
        <v>0</v>
      </c>
      <c r="P39" s="7">
        <f>O39*(1-B15)+P38</f>
        <v>0</v>
      </c>
      <c r="Q39" s="7">
        <f>P39*(1-B15)+Q38</f>
        <v>0</v>
      </c>
      <c r="R39" s="7">
        <f>Q39*(1-B15)+R38</f>
        <v>0</v>
      </c>
      <c r="S39" s="7">
        <f>R39*(1-B15)+S38</f>
        <v>0</v>
      </c>
      <c r="T39" s="7">
        <f>S39*(1-B15)+T38</f>
        <v>0</v>
      </c>
      <c r="U39" s="7">
        <f>T39*(1-B15)+U38</f>
        <v>0</v>
      </c>
      <c r="V39" s="7">
        <f>U39*(1-B15)+V38</f>
        <v>0</v>
      </c>
      <c r="W39" s="7">
        <f>V39*(1-B15)+W38</f>
        <v>0</v>
      </c>
      <c r="X39" s="7">
        <f>W39*(1-B15)+X38</f>
        <v>0</v>
      </c>
      <c r="Y39" s="7">
        <f>X39*(1-B15)+Y38</f>
        <v>0</v>
      </c>
      <c r="Z39" s="7">
        <f>D39</f>
        <v>0</v>
      </c>
      <c r="AA39" s="7">
        <f>G39</f>
        <v>0</v>
      </c>
      <c r="AB39" s="7">
        <f>J39</f>
        <v>0</v>
      </c>
      <c r="AC39" s="7">
        <f>M39</f>
        <v>0</v>
      </c>
      <c r="AD39" s="20">
        <f>M39</f>
        <v>0</v>
      </c>
      <c r="AE39" s="7">
        <f>P39</f>
        <v>0</v>
      </c>
      <c r="AF39" s="7">
        <f>S39</f>
        <v>0</v>
      </c>
      <c r="AG39" s="7">
        <f>V39</f>
        <v>0</v>
      </c>
      <c r="AH39" s="7">
        <f>Y39</f>
        <v>0</v>
      </c>
      <c r="AI39" s="7">
        <f>Y39</f>
        <v>0</v>
      </c>
      <c r="AJ39" s="7">
        <f>Y39</f>
        <v>0</v>
      </c>
    </row>
    <row r="40" spans="1:36" x14ac:dyDescent="0.2">
      <c r="A40" s="18" t="s">
        <v>76</v>
      </c>
      <c r="B40" s="32">
        <f>B39*B7/12</f>
        <v>0</v>
      </c>
      <c r="C40" s="11">
        <f>B40*(1-B15)*(1+B12)+C38*B7/12</f>
        <v>0</v>
      </c>
      <c r="D40" s="11">
        <f>C40*(1-B15)*(1+B12)+D38*B7/12</f>
        <v>0</v>
      </c>
      <c r="E40" s="11">
        <f>D40*(1-B15)*(1+B12)+E38*B7/12</f>
        <v>0</v>
      </c>
      <c r="F40" s="11">
        <f>E40*(1-B15)*(1+B12)+F38*B7/12</f>
        <v>0</v>
      </c>
      <c r="G40" s="11">
        <f>F40*(1-B15)*(1+B12)+G38*B7/12</f>
        <v>0</v>
      </c>
      <c r="H40" s="11">
        <f>G40*(1-B15)*(1+B12)+H38*B7/12</f>
        <v>0</v>
      </c>
      <c r="I40" s="11">
        <f>H40*(1-B15)*(1+B12)+I38*B7/12</f>
        <v>0</v>
      </c>
      <c r="J40" s="11">
        <f>I40*(1-B15)*(1+B12)+J38*B7/12</f>
        <v>0</v>
      </c>
      <c r="K40" s="11">
        <f>J40*(1-B15)*(1+B12)+K38*B7/12</f>
        <v>0</v>
      </c>
      <c r="L40" s="11">
        <f>K40*(1-B15)*(1+B12)+L38*B7/12</f>
        <v>0</v>
      </c>
      <c r="M40" s="33">
        <f>L40*(1-B15)*(1+B12)+M38*B7/12</f>
        <v>0</v>
      </c>
      <c r="N40" s="11">
        <f>M40*(1-B15)*(1+B12)+N38*B7/12</f>
        <v>0</v>
      </c>
      <c r="O40" s="11">
        <f>N40*(1-B15)*(1+B12)+O38*B7/12</f>
        <v>0</v>
      </c>
      <c r="P40" s="11">
        <f>O40*(1-B15)*(1+B12)+P38*B7/12</f>
        <v>0</v>
      </c>
      <c r="Q40" s="11">
        <f>P40*(1-B15)*(1+B12)+Q38*B7/12</f>
        <v>0</v>
      </c>
      <c r="R40" s="11">
        <f>Q40*(1-B15)*(1+B12)+R38*B7/12</f>
        <v>0</v>
      </c>
      <c r="S40" s="11">
        <f>R40*(1-B15)*(1+B12)+S38*B7/12</f>
        <v>0</v>
      </c>
      <c r="T40" s="11">
        <f>S40*(1-B15)*(1+B12)+T38*B7/12</f>
        <v>0</v>
      </c>
      <c r="U40" s="11">
        <f>T40*(1-B15)*(1+B12)+U38*B7/12</f>
        <v>0</v>
      </c>
      <c r="V40" s="11">
        <f>U40*(1-B15)*(1+B12)+V38*B7/12</f>
        <v>0</v>
      </c>
      <c r="W40" s="11">
        <f>V40*(1-B15)*(1+B12)+W38*B7/12</f>
        <v>0</v>
      </c>
      <c r="X40" s="11">
        <f>W40*(1-B15)*(1+B12)+X38*B7/12</f>
        <v>0</v>
      </c>
      <c r="Y40" s="11">
        <f>X40*(1-B15)*(1+B12)+Y38*B7/12</f>
        <v>0</v>
      </c>
      <c r="Z40" s="11">
        <f>SUM(B40:D40)</f>
        <v>0</v>
      </c>
      <c r="AA40" s="11">
        <f>SUM(E40:G40)</f>
        <v>0</v>
      </c>
      <c r="AB40" s="11">
        <f>SUM(H40:J40)</f>
        <v>0</v>
      </c>
      <c r="AC40" s="11">
        <f>SUM(K40:M40)</f>
        <v>0</v>
      </c>
      <c r="AD40" s="21">
        <f>SUM(Z40:AC40)</f>
        <v>0</v>
      </c>
      <c r="AE40" s="11">
        <f>SUM(N40:P40)</f>
        <v>0</v>
      </c>
      <c r="AF40" s="11">
        <f>SUM(Q40:S40)</f>
        <v>0</v>
      </c>
      <c r="AG40" s="11">
        <f>SUM(T40:V40)</f>
        <v>0</v>
      </c>
      <c r="AH40" s="11">
        <f>SUM(W40:Y40)</f>
        <v>0</v>
      </c>
      <c r="AI40" s="12">
        <f>SUM(AE40:AH40)</f>
        <v>0</v>
      </c>
      <c r="AJ40" s="13">
        <f>AD40+AI40</f>
        <v>0</v>
      </c>
    </row>
    <row r="41" spans="1:36" x14ac:dyDescent="0.2">
      <c r="A41" s="48" t="s">
        <v>77</v>
      </c>
      <c r="B41" s="34">
        <f t="shared" ref="B41:Y41" si="2">B40*12</f>
        <v>0</v>
      </c>
      <c r="C41" s="14">
        <f t="shared" si="2"/>
        <v>0</v>
      </c>
      <c r="D41" s="14">
        <f t="shared" si="2"/>
        <v>0</v>
      </c>
      <c r="E41" s="14">
        <f t="shared" si="2"/>
        <v>0</v>
      </c>
      <c r="F41" s="14">
        <f t="shared" si="2"/>
        <v>0</v>
      </c>
      <c r="G41" s="14">
        <f t="shared" si="2"/>
        <v>0</v>
      </c>
      <c r="H41" s="14">
        <f t="shared" si="2"/>
        <v>0</v>
      </c>
      <c r="I41" s="14">
        <f t="shared" si="2"/>
        <v>0</v>
      </c>
      <c r="J41" s="14">
        <f t="shared" si="2"/>
        <v>0</v>
      </c>
      <c r="K41" s="14">
        <f t="shared" si="2"/>
        <v>0</v>
      </c>
      <c r="L41" s="14">
        <f t="shared" si="2"/>
        <v>0</v>
      </c>
      <c r="M41" s="35">
        <f t="shared" si="2"/>
        <v>0</v>
      </c>
      <c r="N41" s="14">
        <f t="shared" si="2"/>
        <v>0</v>
      </c>
      <c r="O41" s="14">
        <f t="shared" si="2"/>
        <v>0</v>
      </c>
      <c r="P41" s="14">
        <f t="shared" si="2"/>
        <v>0</v>
      </c>
      <c r="Q41" s="14">
        <f t="shared" si="2"/>
        <v>0</v>
      </c>
      <c r="R41" s="14">
        <f t="shared" si="2"/>
        <v>0</v>
      </c>
      <c r="S41" s="14">
        <f t="shared" si="2"/>
        <v>0</v>
      </c>
      <c r="T41" s="14">
        <f t="shared" si="2"/>
        <v>0</v>
      </c>
      <c r="U41" s="14">
        <f t="shared" si="2"/>
        <v>0</v>
      </c>
      <c r="V41" s="14">
        <f t="shared" si="2"/>
        <v>0</v>
      </c>
      <c r="W41" s="14">
        <f t="shared" si="2"/>
        <v>0</v>
      </c>
      <c r="X41" s="14">
        <f t="shared" si="2"/>
        <v>0</v>
      </c>
      <c r="Y41" s="14">
        <f t="shared" si="2"/>
        <v>0</v>
      </c>
      <c r="Z41" s="14">
        <f>D41</f>
        <v>0</v>
      </c>
      <c r="AA41" s="14">
        <f>G41</f>
        <v>0</v>
      </c>
      <c r="AB41" s="14">
        <f>J41</f>
        <v>0</v>
      </c>
      <c r="AC41" s="14">
        <f>M41</f>
        <v>0</v>
      </c>
      <c r="AD41" s="22">
        <f>M41</f>
        <v>0</v>
      </c>
      <c r="AE41" s="14">
        <f>P41</f>
        <v>0</v>
      </c>
      <c r="AF41" s="14">
        <f>S41</f>
        <v>0</v>
      </c>
      <c r="AG41" s="14">
        <f>V41</f>
        <v>0</v>
      </c>
      <c r="AH41" s="14">
        <f>Y41</f>
        <v>0</v>
      </c>
      <c r="AI41" s="14">
        <f>Y41</f>
        <v>0</v>
      </c>
      <c r="AJ41" s="14">
        <f>Y41</f>
        <v>0</v>
      </c>
    </row>
    <row r="42" spans="1:36" x14ac:dyDescent="0.2">
      <c r="A42" s="18"/>
      <c r="B42" s="26"/>
      <c r="M42" s="27"/>
      <c r="AD42" s="18"/>
    </row>
    <row r="43" spans="1:36" ht="16" x14ac:dyDescent="0.2">
      <c r="A43" s="49" t="s">
        <v>78</v>
      </c>
      <c r="B43" s="26"/>
      <c r="M43" s="27"/>
      <c r="AD43" s="18"/>
    </row>
    <row r="44" spans="1:36" x14ac:dyDescent="0.2">
      <c r="A44" s="48" t="s">
        <v>79</v>
      </c>
      <c r="B44" s="38">
        <f t="shared" ref="B44:Y44" si="3">B25+B32+B39</f>
        <v>0</v>
      </c>
      <c r="C44" s="16">
        <f t="shared" si="3"/>
        <v>0</v>
      </c>
      <c r="D44" s="16">
        <f t="shared" si="3"/>
        <v>1</v>
      </c>
      <c r="E44" s="16">
        <f t="shared" si="3"/>
        <v>2.9849999999999999</v>
      </c>
      <c r="F44" s="16">
        <f t="shared" si="3"/>
        <v>5.9402249999999999</v>
      </c>
      <c r="G44" s="16">
        <f t="shared" si="3"/>
        <v>9.8511216250000011</v>
      </c>
      <c r="H44" s="16">
        <f t="shared" si="3"/>
        <v>14.703354800625</v>
      </c>
      <c r="I44" s="16">
        <f t="shared" si="3"/>
        <v>20.482804478615627</v>
      </c>
      <c r="J44" s="16">
        <f t="shared" si="3"/>
        <v>27.175562411436392</v>
      </c>
      <c r="K44" s="16">
        <f t="shared" si="3"/>
        <v>34.767928975264844</v>
      </c>
      <c r="L44" s="16">
        <f t="shared" si="3"/>
        <v>43.246410040635872</v>
      </c>
      <c r="M44" s="39">
        <f t="shared" si="3"/>
        <v>52.597713890026334</v>
      </c>
      <c r="N44" s="16">
        <f t="shared" si="3"/>
        <v>62.808748181675938</v>
      </c>
      <c r="O44" s="16">
        <f t="shared" si="3"/>
        <v>73.8666169589508</v>
      </c>
      <c r="P44" s="16">
        <f t="shared" si="3"/>
        <v>85.758617704566532</v>
      </c>
      <c r="Q44" s="16">
        <f t="shared" si="3"/>
        <v>98.472238438998033</v>
      </c>
      <c r="R44" s="16">
        <f t="shared" si="3"/>
        <v>111.99515486241306</v>
      </c>
      <c r="S44" s="16">
        <f t="shared" si="3"/>
        <v>126.31522753947687</v>
      </c>
      <c r="T44" s="16">
        <f t="shared" si="3"/>
        <v>141.4204991263847</v>
      </c>
      <c r="U44" s="16">
        <f t="shared" si="3"/>
        <v>157.29919163948892</v>
      </c>
      <c r="V44" s="16">
        <f t="shared" si="3"/>
        <v>173.93970376489659</v>
      </c>
      <c r="W44" s="16">
        <f t="shared" si="3"/>
        <v>191.33060820842314</v>
      </c>
      <c r="X44" s="16">
        <f t="shared" si="3"/>
        <v>209.46064908529681</v>
      </c>
      <c r="Y44" s="16">
        <f t="shared" si="3"/>
        <v>228.31873934901736</v>
      </c>
      <c r="Z44" s="16">
        <f>D44</f>
        <v>1</v>
      </c>
      <c r="AA44" s="16">
        <f>G44</f>
        <v>9.8511216250000011</v>
      </c>
      <c r="AB44" s="16">
        <f>J44</f>
        <v>27.175562411436392</v>
      </c>
      <c r="AC44" s="16">
        <f>M44</f>
        <v>52.597713890026334</v>
      </c>
      <c r="AD44" s="23">
        <f>M44</f>
        <v>52.597713890026334</v>
      </c>
      <c r="AE44" s="16">
        <f>P44</f>
        <v>85.758617704566532</v>
      </c>
      <c r="AF44" s="16">
        <f>S44</f>
        <v>126.31522753947687</v>
      </c>
      <c r="AG44" s="16">
        <f>V44</f>
        <v>173.93970376489659</v>
      </c>
      <c r="AH44" s="16">
        <f>Y44</f>
        <v>228.31873934901736</v>
      </c>
      <c r="AI44" s="16">
        <f>Y44</f>
        <v>228.31873934901736</v>
      </c>
      <c r="AJ44" s="16">
        <f>Y44</f>
        <v>228.31873934901736</v>
      </c>
    </row>
    <row r="45" spans="1:36" x14ac:dyDescent="0.2">
      <c r="A45" s="48" t="s">
        <v>80</v>
      </c>
      <c r="B45" s="40">
        <f t="shared" ref="B45:Y45" si="4">B26+B33+B40</f>
        <v>0</v>
      </c>
      <c r="C45" s="12">
        <f t="shared" si="4"/>
        <v>0</v>
      </c>
      <c r="D45" s="12">
        <f t="shared" si="4"/>
        <v>1666.6666666666667</v>
      </c>
      <c r="E45" s="12">
        <f t="shared" si="4"/>
        <v>4988.9541666666664</v>
      </c>
      <c r="F45" s="12">
        <f t="shared" si="4"/>
        <v>9955.8898729270841</v>
      </c>
      <c r="G45" s="12">
        <f t="shared" si="4"/>
        <v>16556.573879460928</v>
      </c>
      <c r="H45" s="12">
        <f t="shared" si="4"/>
        <v>24780.178519408131</v>
      </c>
      <c r="I45" s="12">
        <f t="shared" si="4"/>
        <v>34615.947886270747</v>
      </c>
      <c r="J45" s="12">
        <f t="shared" si="4"/>
        <v>46053.197358321151</v>
      </c>
      <c r="K45" s="12">
        <f t="shared" si="4"/>
        <v>59081.313126162211</v>
      </c>
      <c r="L45" s="12">
        <f t="shared" si="4"/>
        <v>73689.751723418565</v>
      </c>
      <c r="M45" s="41">
        <f t="shared" si="4"/>
        <v>89868.03956053828</v>
      </c>
      <c r="N45" s="12">
        <f t="shared" si="4"/>
        <v>107605.77246168414</v>
      </c>
      <c r="O45" s="12">
        <f t="shared" si="4"/>
        <v>126892.61520469433</v>
      </c>
      <c r="P45" s="12">
        <f t="shared" si="4"/>
        <v>147718.30106409188</v>
      </c>
      <c r="Q45" s="12">
        <f t="shared" si="4"/>
        <v>170072.63135712294</v>
      </c>
      <c r="R45" s="12">
        <f t="shared" si="4"/>
        <v>193945.47499280359</v>
      </c>
      <c r="S45" s="12">
        <f t="shared" si="4"/>
        <v>219326.76802395543</v>
      </c>
      <c r="T45" s="12">
        <f t="shared" si="4"/>
        <v>246206.51320221002</v>
      </c>
      <c r="U45" s="12">
        <f t="shared" si="4"/>
        <v>274574.77953596239</v>
      </c>
      <c r="V45" s="12">
        <f t="shared" si="4"/>
        <v>304421.70185125445</v>
      </c>
      <c r="W45" s="12">
        <f t="shared" si="4"/>
        <v>335737.48035556858</v>
      </c>
      <c r="X45" s="12">
        <f t="shared" si="4"/>
        <v>368512.38020451198</v>
      </c>
      <c r="Y45" s="12">
        <f t="shared" si="4"/>
        <v>402736.73107137321</v>
      </c>
      <c r="Z45" s="11">
        <f>SUM(B45:D45)</f>
        <v>1666.6666666666667</v>
      </c>
      <c r="AA45" s="11">
        <f>SUM(E45:G45)</f>
        <v>31501.417919054678</v>
      </c>
      <c r="AB45" s="11">
        <f>SUM(H45:J45)</f>
        <v>105449.32376400003</v>
      </c>
      <c r="AC45" s="11">
        <f>SUM(K45:M45)</f>
        <v>222639.10441011906</v>
      </c>
      <c r="AD45" s="21">
        <f>SUM(Z45:AC45)</f>
        <v>361256.51275984047</v>
      </c>
      <c r="AE45" s="11">
        <f>SUM(N45:P45)</f>
        <v>382216.68873047037</v>
      </c>
      <c r="AF45" s="11">
        <f>SUM(Q45:S45)</f>
        <v>583344.87437388196</v>
      </c>
      <c r="AG45" s="11">
        <f>SUM(T45:V45)</f>
        <v>825202.99458942679</v>
      </c>
      <c r="AH45" s="11">
        <f>SUM(W45:Y45)</f>
        <v>1106986.5916314537</v>
      </c>
      <c r="AI45" s="12">
        <f>SUM(AE45:AH45)</f>
        <v>2897751.149325233</v>
      </c>
      <c r="AJ45" s="13">
        <f>AD45+AI45</f>
        <v>3259007.6620850735</v>
      </c>
    </row>
    <row r="46" spans="1:36" x14ac:dyDescent="0.2">
      <c r="A46" s="48" t="s">
        <v>81</v>
      </c>
      <c r="B46" s="42">
        <f t="shared" ref="B46:Y46" si="5">B27+B34+B41</f>
        <v>0</v>
      </c>
      <c r="C46" s="13">
        <f t="shared" si="5"/>
        <v>0</v>
      </c>
      <c r="D46" s="13">
        <f t="shared" si="5"/>
        <v>20000</v>
      </c>
      <c r="E46" s="13">
        <f t="shared" si="5"/>
        <v>59867.45</v>
      </c>
      <c r="F46" s="13">
        <f t="shared" si="5"/>
        <v>119470.67847512501</v>
      </c>
      <c r="G46" s="13">
        <f t="shared" si="5"/>
        <v>198678.88655353113</v>
      </c>
      <c r="H46" s="13">
        <f t="shared" si="5"/>
        <v>297362.14223289758</v>
      </c>
      <c r="I46" s="13">
        <f t="shared" si="5"/>
        <v>415391.37463524897</v>
      </c>
      <c r="J46" s="13">
        <f t="shared" si="5"/>
        <v>552638.36829985376</v>
      </c>
      <c r="K46" s="13">
        <f t="shared" si="5"/>
        <v>708975.7575139465</v>
      </c>
      <c r="L46" s="13">
        <f t="shared" si="5"/>
        <v>884277.02068102278</v>
      </c>
      <c r="M46" s="43">
        <f t="shared" si="5"/>
        <v>1078416.4747264595</v>
      </c>
      <c r="N46" s="13">
        <f t="shared" si="5"/>
        <v>1291269.2695402098</v>
      </c>
      <c r="O46" s="13">
        <f t="shared" si="5"/>
        <v>1522711.382456332</v>
      </c>
      <c r="P46" s="13">
        <f t="shared" si="5"/>
        <v>1772619.6127691027</v>
      </c>
      <c r="Q46" s="13">
        <f t="shared" si="5"/>
        <v>2040871.5762854754</v>
      </c>
      <c r="R46" s="13">
        <f t="shared" si="5"/>
        <v>2327345.6999136433</v>
      </c>
      <c r="S46" s="13">
        <f t="shared" si="5"/>
        <v>2631921.2162874653</v>
      </c>
      <c r="T46" s="13">
        <f t="shared" si="5"/>
        <v>2954478.1584265204</v>
      </c>
      <c r="U46" s="13">
        <f t="shared" si="5"/>
        <v>3294897.3544315486</v>
      </c>
      <c r="V46" s="13">
        <f t="shared" si="5"/>
        <v>3653060.4222150533</v>
      </c>
      <c r="W46" s="13">
        <f t="shared" si="5"/>
        <v>4028849.764266823</v>
      </c>
      <c r="X46" s="13">
        <f t="shared" si="5"/>
        <v>4422148.5624541435</v>
      </c>
      <c r="Y46" s="13">
        <f t="shared" si="5"/>
        <v>4832840.7728564786</v>
      </c>
      <c r="Z46" s="13">
        <f>D46</f>
        <v>20000</v>
      </c>
      <c r="AA46" s="13">
        <f>G46</f>
        <v>198678.88655353113</v>
      </c>
      <c r="AB46" s="13">
        <f>J46</f>
        <v>552638.36829985376</v>
      </c>
      <c r="AC46" s="13">
        <f>M46</f>
        <v>1078416.4747264595</v>
      </c>
      <c r="AD46" s="24">
        <f>M46</f>
        <v>1078416.4747264595</v>
      </c>
      <c r="AE46" s="13">
        <f>P46</f>
        <v>1772619.6127691027</v>
      </c>
      <c r="AF46" s="13">
        <f>S46</f>
        <v>2631921.2162874653</v>
      </c>
      <c r="AG46" s="13">
        <f>V46</f>
        <v>3653060.4222150533</v>
      </c>
      <c r="AH46" s="13">
        <f>Y46</f>
        <v>4832840.7728564786</v>
      </c>
      <c r="AI46" s="13">
        <f>Y46</f>
        <v>4832840.7728564786</v>
      </c>
      <c r="AJ46" s="13">
        <f>Y46</f>
        <v>4832840.7728564786</v>
      </c>
    </row>
    <row r="47" spans="1:36" ht="16" thickBot="1" x14ac:dyDescent="0.25">
      <c r="A47" s="50" t="s">
        <v>82</v>
      </c>
      <c r="B47" s="44">
        <f>B45</f>
        <v>0</v>
      </c>
      <c r="C47" s="45">
        <f t="shared" ref="C47:Y47" si="6">B47+C45</f>
        <v>0</v>
      </c>
      <c r="D47" s="45">
        <f t="shared" si="6"/>
        <v>1666.6666666666667</v>
      </c>
      <c r="E47" s="45">
        <f t="shared" si="6"/>
        <v>6655.6208333333334</v>
      </c>
      <c r="F47" s="45">
        <f t="shared" si="6"/>
        <v>16611.510706260418</v>
      </c>
      <c r="G47" s="45">
        <f t="shared" si="6"/>
        <v>33168.084585721343</v>
      </c>
      <c r="H47" s="45">
        <f t="shared" si="6"/>
        <v>57948.263105129474</v>
      </c>
      <c r="I47" s="45">
        <f t="shared" si="6"/>
        <v>92564.210991400221</v>
      </c>
      <c r="J47" s="45">
        <f t="shared" si="6"/>
        <v>138617.40834972137</v>
      </c>
      <c r="K47" s="45">
        <f t="shared" si="6"/>
        <v>197698.72147588359</v>
      </c>
      <c r="L47" s="45">
        <f t="shared" si="6"/>
        <v>271388.47319930216</v>
      </c>
      <c r="M47" s="46">
        <f t="shared" si="6"/>
        <v>361256.51275984047</v>
      </c>
      <c r="N47" s="17">
        <f t="shared" si="6"/>
        <v>468862.28522152459</v>
      </c>
      <c r="O47" s="17">
        <f t="shared" si="6"/>
        <v>595754.90042621898</v>
      </c>
      <c r="P47" s="17">
        <f t="shared" si="6"/>
        <v>743473.20149031084</v>
      </c>
      <c r="Q47" s="17">
        <f t="shared" si="6"/>
        <v>913545.83284743375</v>
      </c>
      <c r="R47" s="17">
        <f t="shared" si="6"/>
        <v>1107491.3078402374</v>
      </c>
      <c r="S47" s="17">
        <f t="shared" si="6"/>
        <v>1326818.0758641928</v>
      </c>
      <c r="T47" s="17">
        <f t="shared" si="6"/>
        <v>1573024.5890664028</v>
      </c>
      <c r="U47" s="17">
        <f t="shared" si="6"/>
        <v>1847599.3686023653</v>
      </c>
      <c r="V47" s="17">
        <f t="shared" si="6"/>
        <v>2152021.0704536196</v>
      </c>
      <c r="W47" s="17">
        <f t="shared" si="6"/>
        <v>2487758.5508091883</v>
      </c>
      <c r="X47" s="17">
        <f t="shared" si="6"/>
        <v>2856270.9310137001</v>
      </c>
      <c r="Y47" s="17">
        <f t="shared" si="6"/>
        <v>3259007.6620850731</v>
      </c>
      <c r="Z47" s="11">
        <f>SUM(B47:D47)</f>
        <v>1666.6666666666667</v>
      </c>
      <c r="AA47" s="11">
        <f>SUM(E47:G47)</f>
        <v>56435.216125315099</v>
      </c>
      <c r="AB47" s="11">
        <f>SUM(H47:J47)</f>
        <v>289129.88244625111</v>
      </c>
      <c r="AC47" s="11">
        <f>SUM(K47:M47)</f>
        <v>830343.70743502618</v>
      </c>
      <c r="AD47" s="25">
        <f>SUM(Z47:AC47)</f>
        <v>1177575.472673259</v>
      </c>
      <c r="AE47" s="11">
        <f>SUM(N47:P47)</f>
        <v>1808090.3871380542</v>
      </c>
      <c r="AF47" s="11">
        <f>SUM(Q47:S47)</f>
        <v>3347855.2165518636</v>
      </c>
      <c r="AG47" s="11">
        <f>SUM(T47:V47)</f>
        <v>5572645.0281223878</v>
      </c>
      <c r="AH47" s="11">
        <f>SUM(W47:Y47)</f>
        <v>8603037.1439079605</v>
      </c>
      <c r="AI47" s="12">
        <f>SUM(AE47:AH47)</f>
        <v>19331627.775720268</v>
      </c>
      <c r="AJ47" s="13">
        <f>AD47+AI47</f>
        <v>20509203.248393528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Model (2)</vt:lpstr>
      <vt:lpstr>Revenue Model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2025-11-10T12:43:14Z</dcterms:created>
  <dcterms:modified xsi:type="dcterms:W3CDTF">2026-01-21T18:19:03Z</dcterms:modified>
  <cp:category/>
</cp:coreProperties>
</file>