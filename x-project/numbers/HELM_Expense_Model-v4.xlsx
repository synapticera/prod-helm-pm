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110"/>
  <workbookPr filterPrivacy="1"/>
  <xr:revisionPtr revIDLastSave="0" documentId="13_ncr:1_{B886B394-B09B-1C42-A608-7FBF20E67E97}" xr6:coauthVersionLast="47" xr6:coauthVersionMax="47" xr10:uidLastSave="{00000000-0000-0000-0000-000000000000}"/>
  <bookViews>
    <workbookView xWindow="24800" yWindow="-28300" windowWidth="59140" windowHeight="23740" xr2:uid="{00000000-000D-0000-FFFF-FFFF00000000}"/>
  </bookViews>
  <sheets>
    <sheet name="Executive Summary" sheetId="1" r:id="rId1"/>
    <sheet name="All Detail" sheetId="2" r:id="rId2"/>
    <sheet name="Headcount Detail" sheetId="3" r:id="rId3"/>
    <sheet name="Infrastructure Detail" sheetId="4" r:id="rId4"/>
    <sheet name="Go-to-Market Detail" sheetId="5" r:id="rId5"/>
    <sheet name="R&amp;D Detail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7" i="3" l="1"/>
  <c r="A7" i="2"/>
  <c r="A8" i="2"/>
  <c r="A9" i="2"/>
  <c r="A10" i="2"/>
  <c r="A11" i="2"/>
  <c r="A12" i="2"/>
  <c r="A13" i="2"/>
  <c r="A14" i="2"/>
  <c r="A15" i="2"/>
  <c r="A16" i="2"/>
  <c r="A17" i="2"/>
  <c r="A18" i="2"/>
  <c r="A19" i="2"/>
  <c r="A20" i="2"/>
  <c r="A21" i="2"/>
  <c r="A22" i="2"/>
  <c r="A23" i="2"/>
  <c r="A24" i="2"/>
  <c r="A25" i="2"/>
  <c r="A26" i="2"/>
  <c r="A27" i="2"/>
  <c r="A28" i="2"/>
  <c r="A29" i="2"/>
  <c r="AB9" i="6"/>
  <c r="Y70" i="2" s="1"/>
  <c r="AA9" i="6"/>
  <c r="Z9" i="6"/>
  <c r="AK9" i="6" s="1"/>
  <c r="Y9" i="6"/>
  <c r="X9" i="6"/>
  <c r="U70" i="2" s="1"/>
  <c r="W9" i="6"/>
  <c r="AJ9" i="6" s="1"/>
  <c r="AG70" i="2" s="1"/>
  <c r="V9" i="6"/>
  <c r="S70" i="2" s="1"/>
  <c r="U9" i="6"/>
  <c r="R70" i="2" s="1"/>
  <c r="T9" i="6"/>
  <c r="AI9" i="6" s="1"/>
  <c r="AF70" i="2" s="1"/>
  <c r="S9" i="6"/>
  <c r="R9" i="6"/>
  <c r="Q9" i="6"/>
  <c r="AH9" i="6" s="1"/>
  <c r="P9" i="6"/>
  <c r="O9" i="6"/>
  <c r="N9" i="6"/>
  <c r="M9" i="6"/>
  <c r="J70" i="2" s="1"/>
  <c r="L9" i="6"/>
  <c r="K9" i="6"/>
  <c r="H70" i="2" s="1"/>
  <c r="J9" i="6"/>
  <c r="G70" i="2" s="1"/>
  <c r="I9" i="6"/>
  <c r="F70" i="2" s="1"/>
  <c r="H9" i="6"/>
  <c r="E70" i="2" s="1"/>
  <c r="G9" i="6"/>
  <c r="D70" i="2" s="1"/>
  <c r="F9" i="6"/>
  <c r="C70" i="2" s="1"/>
  <c r="E9" i="6"/>
  <c r="AB8" i="6"/>
  <c r="AA8" i="6"/>
  <c r="Z8" i="6"/>
  <c r="AK8" i="6" s="1"/>
  <c r="Y8" i="6"/>
  <c r="X8" i="6"/>
  <c r="W8" i="6"/>
  <c r="AJ8" i="6" s="1"/>
  <c r="AG69" i="2" s="1"/>
  <c r="V8" i="6"/>
  <c r="U8" i="6"/>
  <c r="T8" i="6"/>
  <c r="AI8" i="6" s="1"/>
  <c r="S8" i="6"/>
  <c r="P69" i="2" s="1"/>
  <c r="R8" i="6"/>
  <c r="AH8" i="6" s="1"/>
  <c r="Q8" i="6"/>
  <c r="P8" i="6"/>
  <c r="O8" i="6"/>
  <c r="N8" i="6"/>
  <c r="M8" i="6"/>
  <c r="L8" i="6"/>
  <c r="K8" i="6"/>
  <c r="AE8" i="6" s="1"/>
  <c r="AB69" i="2" s="1"/>
  <c r="J8" i="6"/>
  <c r="I8" i="6"/>
  <c r="H8" i="6"/>
  <c r="AD8" i="6" s="1"/>
  <c r="AA69" i="2" s="1"/>
  <c r="G8" i="6"/>
  <c r="F8" i="6"/>
  <c r="C69" i="2" s="1"/>
  <c r="E8" i="6"/>
  <c r="AC8" i="6" s="1"/>
  <c r="Z69" i="2" s="1"/>
  <c r="AC7" i="6"/>
  <c r="Z68" i="2" s="1"/>
  <c r="AB7" i="6"/>
  <c r="AA7" i="6"/>
  <c r="Z7" i="6"/>
  <c r="Y7" i="6"/>
  <c r="X7" i="6"/>
  <c r="U68" i="2" s="1"/>
  <c r="W7" i="6"/>
  <c r="AJ7" i="6" s="1"/>
  <c r="V7" i="6"/>
  <c r="S68" i="2" s="1"/>
  <c r="U7" i="6"/>
  <c r="R68" i="2" s="1"/>
  <c r="T7" i="6"/>
  <c r="AI7" i="6" s="1"/>
  <c r="AF68" i="2" s="1"/>
  <c r="S7" i="6"/>
  <c r="P68" i="2" s="1"/>
  <c r="R7" i="6"/>
  <c r="O68" i="2" s="1"/>
  <c r="Q7" i="6"/>
  <c r="AH7" i="6" s="1"/>
  <c r="AE68" i="2" s="1"/>
  <c r="P7" i="6"/>
  <c r="M68" i="2" s="1"/>
  <c r="O7" i="6"/>
  <c r="AF7" i="6" s="1"/>
  <c r="AC68" i="2" s="1"/>
  <c r="N7" i="6"/>
  <c r="M7" i="6"/>
  <c r="L7" i="6"/>
  <c r="K7" i="6"/>
  <c r="J7" i="6"/>
  <c r="G68" i="2" s="1"/>
  <c r="I7" i="6"/>
  <c r="H7" i="6"/>
  <c r="E68" i="2" s="1"/>
  <c r="G7" i="6"/>
  <c r="D68" i="2" s="1"/>
  <c r="F7" i="6"/>
  <c r="C68" i="2" s="1"/>
  <c r="E7" i="6"/>
  <c r="B68" i="2" s="1"/>
  <c r="AB6" i="6"/>
  <c r="Y67" i="2" s="1"/>
  <c r="AA6" i="6"/>
  <c r="X67" i="2" s="1"/>
  <c r="Z6" i="6"/>
  <c r="AK6" i="6" s="1"/>
  <c r="AH67" i="2" s="1"/>
  <c r="Y6" i="6"/>
  <c r="V67" i="2" s="1"/>
  <c r="X6" i="6"/>
  <c r="U67" i="2" s="1"/>
  <c r="W6" i="6"/>
  <c r="V6" i="6"/>
  <c r="S67" i="2" s="1"/>
  <c r="U6" i="6"/>
  <c r="T6" i="6"/>
  <c r="S6" i="6"/>
  <c r="P67" i="2" s="1"/>
  <c r="R6" i="6"/>
  <c r="O67" i="2" s="1"/>
  <c r="Q6" i="6"/>
  <c r="AH6" i="6" s="1"/>
  <c r="AE67" i="2" s="1"/>
  <c r="P6" i="6"/>
  <c r="M67" i="2" s="1"/>
  <c r="O6" i="6"/>
  <c r="L67" i="2" s="1"/>
  <c r="N6" i="6"/>
  <c r="K67" i="2" s="1"/>
  <c r="M6" i="6"/>
  <c r="J67" i="2" s="1"/>
  <c r="L6" i="6"/>
  <c r="I67" i="2" s="1"/>
  <c r="K6" i="6"/>
  <c r="J6" i="6"/>
  <c r="G67" i="2" s="1"/>
  <c r="I6" i="6"/>
  <c r="H6" i="6"/>
  <c r="AD6" i="6" s="1"/>
  <c r="AA67" i="2" s="1"/>
  <c r="G6" i="6"/>
  <c r="F6" i="6"/>
  <c r="E6" i="6"/>
  <c r="AC6" i="6" s="1"/>
  <c r="AB5" i="6"/>
  <c r="AA5" i="6"/>
  <c r="X66" i="2" s="1"/>
  <c r="Z5" i="6"/>
  <c r="Y5" i="6"/>
  <c r="X5" i="6"/>
  <c r="W5" i="6"/>
  <c r="V5" i="6"/>
  <c r="S66" i="2" s="1"/>
  <c r="U5" i="6"/>
  <c r="R66" i="2" s="1"/>
  <c r="T5" i="6"/>
  <c r="S5" i="6"/>
  <c r="R5" i="6"/>
  <c r="Q5" i="6"/>
  <c r="P5" i="6"/>
  <c r="O5" i="6"/>
  <c r="N5" i="6"/>
  <c r="M5" i="6"/>
  <c r="J66" i="2" s="1"/>
  <c r="L5" i="6"/>
  <c r="K5" i="6"/>
  <c r="J5" i="6"/>
  <c r="I5" i="6"/>
  <c r="H5" i="6"/>
  <c r="E66" i="2" s="1"/>
  <c r="G5" i="6"/>
  <c r="D66" i="2" s="1"/>
  <c r="F5" i="6"/>
  <c r="C66" i="2" s="1"/>
  <c r="E5" i="6"/>
  <c r="AB4" i="6"/>
  <c r="AA4" i="6"/>
  <c r="Z4" i="6"/>
  <c r="W65" i="2" s="1"/>
  <c r="Y4" i="6"/>
  <c r="X4" i="6"/>
  <c r="W4" i="6"/>
  <c r="V4" i="6"/>
  <c r="U4" i="6"/>
  <c r="T4" i="6"/>
  <c r="Q65" i="2" s="1"/>
  <c r="S4" i="6"/>
  <c r="P65" i="2" s="1"/>
  <c r="R4" i="6"/>
  <c r="O65" i="2" s="1"/>
  <c r="Q4" i="6"/>
  <c r="Q10" i="6" s="1"/>
  <c r="N7" i="1" s="1"/>
  <c r="P4" i="6"/>
  <c r="O4" i="6"/>
  <c r="N4" i="6"/>
  <c r="M4" i="6"/>
  <c r="L4" i="6"/>
  <c r="I65" i="2" s="1"/>
  <c r="K4" i="6"/>
  <c r="AE4" i="6" s="1"/>
  <c r="AB65" i="2" s="1"/>
  <c r="J4" i="6"/>
  <c r="I4" i="6"/>
  <c r="H4" i="6"/>
  <c r="E65" i="2" s="1"/>
  <c r="G4" i="6"/>
  <c r="F4" i="6"/>
  <c r="E4" i="6"/>
  <c r="B65" i="2" s="1"/>
  <c r="AB13" i="5"/>
  <c r="Y60" i="2" s="1"/>
  <c r="AA13" i="5"/>
  <c r="X60" i="2" s="1"/>
  <c r="Z13" i="5"/>
  <c r="Y13" i="5"/>
  <c r="X13" i="5"/>
  <c r="W13" i="5"/>
  <c r="AJ13" i="5" s="1"/>
  <c r="V13" i="5"/>
  <c r="S60" i="2" s="1"/>
  <c r="U13" i="5"/>
  <c r="R60" i="2" s="1"/>
  <c r="T13" i="5"/>
  <c r="S13" i="5"/>
  <c r="R13" i="5"/>
  <c r="Q13" i="5"/>
  <c r="P13" i="5"/>
  <c r="M60" i="2" s="1"/>
  <c r="O13" i="5"/>
  <c r="L60" i="2" s="1"/>
  <c r="N13" i="5"/>
  <c r="M13" i="5"/>
  <c r="J60" i="2" s="1"/>
  <c r="L13" i="5"/>
  <c r="K13" i="5"/>
  <c r="J13" i="5"/>
  <c r="I13" i="5"/>
  <c r="AD13" i="5" s="1"/>
  <c r="H13" i="5"/>
  <c r="G13" i="5"/>
  <c r="D60" i="2" s="1"/>
  <c r="F13" i="5"/>
  <c r="C60" i="2" s="1"/>
  <c r="E13" i="5"/>
  <c r="AJ12" i="5"/>
  <c r="AH12" i="5"/>
  <c r="AB12" i="5"/>
  <c r="AA12" i="5"/>
  <c r="Z12" i="5"/>
  <c r="AK12" i="5" s="1"/>
  <c r="Y12" i="5"/>
  <c r="X12" i="5"/>
  <c r="W12" i="5"/>
  <c r="V12" i="5"/>
  <c r="U12" i="5"/>
  <c r="T12" i="5"/>
  <c r="S12" i="5"/>
  <c r="R12" i="5"/>
  <c r="Q12" i="5"/>
  <c r="P12" i="5"/>
  <c r="O12" i="5"/>
  <c r="N12" i="5"/>
  <c r="AF12" i="5" s="1"/>
  <c r="M12" i="5"/>
  <c r="L12" i="5"/>
  <c r="K12" i="5"/>
  <c r="AE12" i="5" s="1"/>
  <c r="J12" i="5"/>
  <c r="I12" i="5"/>
  <c r="H12" i="5"/>
  <c r="AD12" i="5" s="1"/>
  <c r="G12" i="5"/>
  <c r="F12" i="5"/>
  <c r="E12" i="5"/>
  <c r="AC11" i="5"/>
  <c r="AB11" i="5"/>
  <c r="AA11" i="5"/>
  <c r="Z11" i="5"/>
  <c r="AK11" i="5" s="1"/>
  <c r="AH58" i="2" s="1"/>
  <c r="Y11" i="5"/>
  <c r="X11" i="5"/>
  <c r="W11" i="5"/>
  <c r="AJ11" i="5" s="1"/>
  <c r="V11" i="5"/>
  <c r="U11" i="5"/>
  <c r="T11" i="5"/>
  <c r="AI11" i="5" s="1"/>
  <c r="S11" i="5"/>
  <c r="R11" i="5"/>
  <c r="Q11" i="5"/>
  <c r="AH11" i="5" s="1"/>
  <c r="P11" i="5"/>
  <c r="O11" i="5"/>
  <c r="AF11" i="5" s="1"/>
  <c r="N11" i="5"/>
  <c r="M11" i="5"/>
  <c r="L11" i="5"/>
  <c r="AE11" i="5" s="1"/>
  <c r="K11" i="5"/>
  <c r="J11" i="5"/>
  <c r="I11" i="5"/>
  <c r="AD11" i="5" s="1"/>
  <c r="H11" i="5"/>
  <c r="G11" i="5"/>
  <c r="F11" i="5"/>
  <c r="E11" i="5"/>
  <c r="AB10" i="5"/>
  <c r="Y57" i="2" s="1"/>
  <c r="AA10" i="5"/>
  <c r="Z10" i="5"/>
  <c r="AK10" i="5" s="1"/>
  <c r="AH57" i="2" s="1"/>
  <c r="Y10" i="5"/>
  <c r="X10" i="5"/>
  <c r="U57" i="2" s="1"/>
  <c r="W10" i="5"/>
  <c r="AJ10" i="5" s="1"/>
  <c r="AG57" i="2" s="1"/>
  <c r="V10" i="5"/>
  <c r="U10" i="5"/>
  <c r="T10" i="5"/>
  <c r="S10" i="5"/>
  <c r="R10" i="5"/>
  <c r="Q10" i="5"/>
  <c r="P10" i="5"/>
  <c r="M57" i="2" s="1"/>
  <c r="O10" i="5"/>
  <c r="N10" i="5"/>
  <c r="K57" i="2" s="1"/>
  <c r="M10" i="5"/>
  <c r="L10" i="5"/>
  <c r="I57" i="2" s="1"/>
  <c r="K10" i="5"/>
  <c r="J10" i="5"/>
  <c r="G57" i="2" s="1"/>
  <c r="I10" i="5"/>
  <c r="H10" i="5"/>
  <c r="G10" i="5"/>
  <c r="F10" i="5"/>
  <c r="C57" i="2" s="1"/>
  <c r="E10" i="5"/>
  <c r="AK9" i="5"/>
  <c r="AC9" i="5"/>
  <c r="AB9" i="5"/>
  <c r="AA9" i="5"/>
  <c r="Z9" i="5"/>
  <c r="Y9" i="5"/>
  <c r="X9" i="5"/>
  <c r="W9" i="5"/>
  <c r="AJ9" i="5" s="1"/>
  <c r="V9" i="5"/>
  <c r="U9" i="5"/>
  <c r="T9" i="5"/>
  <c r="AI9" i="5" s="1"/>
  <c r="S9" i="5"/>
  <c r="R9" i="5"/>
  <c r="Q9" i="5"/>
  <c r="AH9" i="5" s="1"/>
  <c r="P9" i="5"/>
  <c r="O9" i="5"/>
  <c r="AF9" i="5" s="1"/>
  <c r="N9" i="5"/>
  <c r="M9" i="5"/>
  <c r="L9" i="5"/>
  <c r="K9" i="5"/>
  <c r="J9" i="5"/>
  <c r="I9" i="5"/>
  <c r="AD9" i="5" s="1"/>
  <c r="H9" i="5"/>
  <c r="G9" i="5"/>
  <c r="F9" i="5"/>
  <c r="E9" i="5"/>
  <c r="AB8" i="5"/>
  <c r="Y55" i="2" s="1"/>
  <c r="AA8" i="5"/>
  <c r="Z8" i="5"/>
  <c r="Y8" i="5"/>
  <c r="V55" i="2" s="1"/>
  <c r="X8" i="5"/>
  <c r="U55" i="2" s="1"/>
  <c r="W8" i="5"/>
  <c r="V8" i="5"/>
  <c r="U8" i="5"/>
  <c r="R55" i="2" s="1"/>
  <c r="T8" i="5"/>
  <c r="AI8" i="5" s="1"/>
  <c r="AF55" i="2" s="1"/>
  <c r="S8" i="5"/>
  <c r="R8" i="5"/>
  <c r="O55" i="2" s="1"/>
  <c r="Q8" i="5"/>
  <c r="N55" i="2" s="1"/>
  <c r="P8" i="5"/>
  <c r="O8" i="5"/>
  <c r="L55" i="2" s="1"/>
  <c r="N8" i="5"/>
  <c r="M8" i="5"/>
  <c r="L8" i="5"/>
  <c r="K8" i="5"/>
  <c r="H55" i="2" s="1"/>
  <c r="J8" i="5"/>
  <c r="G55" i="2" s="1"/>
  <c r="I8" i="5"/>
  <c r="H8" i="5"/>
  <c r="E55" i="2" s="1"/>
  <c r="G8" i="5"/>
  <c r="F8" i="5"/>
  <c r="C55" i="2" s="1"/>
  <c r="E8" i="5"/>
  <c r="AK7" i="5"/>
  <c r="AH54" i="2" s="1"/>
  <c r="AC7" i="5"/>
  <c r="Z54" i="2" s="1"/>
  <c r="AB7" i="5"/>
  <c r="AA7" i="5"/>
  <c r="Z7" i="5"/>
  <c r="Y7" i="5"/>
  <c r="V54" i="2" s="1"/>
  <c r="X7" i="5"/>
  <c r="U54" i="2" s="1"/>
  <c r="W7" i="5"/>
  <c r="V7" i="5"/>
  <c r="U7" i="5"/>
  <c r="T7" i="5"/>
  <c r="AI7" i="5" s="1"/>
  <c r="S7" i="5"/>
  <c r="P54" i="2" s="1"/>
  <c r="R7" i="5"/>
  <c r="O54" i="2" s="1"/>
  <c r="Q7" i="5"/>
  <c r="P7" i="5"/>
  <c r="M54" i="2" s="1"/>
  <c r="O7" i="5"/>
  <c r="AF7" i="5" s="1"/>
  <c r="AC54" i="2" s="1"/>
  <c r="N7" i="5"/>
  <c r="M7" i="5"/>
  <c r="L7" i="5"/>
  <c r="K7" i="5"/>
  <c r="J7" i="5"/>
  <c r="G54" i="2" s="1"/>
  <c r="I7" i="5"/>
  <c r="H7" i="5"/>
  <c r="G7" i="5"/>
  <c r="F7" i="5"/>
  <c r="E7" i="5"/>
  <c r="B54" i="2" s="1"/>
  <c r="AJ6" i="5"/>
  <c r="AH6" i="5"/>
  <c r="AL6" i="5" s="1"/>
  <c r="AB6" i="5"/>
  <c r="AA6" i="5"/>
  <c r="Z6" i="5"/>
  <c r="AK6" i="5" s="1"/>
  <c r="Y6" i="5"/>
  <c r="X6" i="5"/>
  <c r="W6" i="5"/>
  <c r="V6" i="5"/>
  <c r="U6" i="5"/>
  <c r="T6" i="5"/>
  <c r="AI6" i="5" s="1"/>
  <c r="S6" i="5"/>
  <c r="R6" i="5"/>
  <c r="Q6" i="5"/>
  <c r="P6" i="5"/>
  <c r="M53" i="2" s="1"/>
  <c r="O6" i="5"/>
  <c r="N6" i="5"/>
  <c r="M6" i="5"/>
  <c r="L6" i="5"/>
  <c r="K6" i="5"/>
  <c r="AE6" i="5" s="1"/>
  <c r="J6" i="5"/>
  <c r="I6" i="5"/>
  <c r="H6" i="5"/>
  <c r="AD6" i="5" s="1"/>
  <c r="G6" i="5"/>
  <c r="F6" i="5"/>
  <c r="E6" i="5"/>
  <c r="AB5" i="5"/>
  <c r="AA5" i="5"/>
  <c r="Z5" i="5"/>
  <c r="AK5" i="5" s="1"/>
  <c r="AH52" i="2" s="1"/>
  <c r="Y5" i="5"/>
  <c r="X5" i="5"/>
  <c r="W5" i="5"/>
  <c r="T52" i="2" s="1"/>
  <c r="V5" i="5"/>
  <c r="U5" i="5"/>
  <c r="R52" i="2" s="1"/>
  <c r="T5" i="5"/>
  <c r="S5" i="5"/>
  <c r="P52" i="2" s="1"/>
  <c r="R5" i="5"/>
  <c r="O52" i="2" s="1"/>
  <c r="Q5" i="5"/>
  <c r="P5" i="5"/>
  <c r="M52" i="2" s="1"/>
  <c r="O5" i="5"/>
  <c r="N5" i="5"/>
  <c r="K52" i="2" s="1"/>
  <c r="M5" i="5"/>
  <c r="J52" i="2" s="1"/>
  <c r="L5" i="5"/>
  <c r="I52" i="2" s="1"/>
  <c r="K5" i="5"/>
  <c r="J5" i="5"/>
  <c r="I5" i="5"/>
  <c r="AD5" i="5" s="1"/>
  <c r="AA52" i="2" s="1"/>
  <c r="H5" i="5"/>
  <c r="G5" i="5"/>
  <c r="F5" i="5"/>
  <c r="C52" i="2" s="1"/>
  <c r="E5" i="5"/>
  <c r="B52" i="2" s="1"/>
  <c r="AJ4" i="5"/>
  <c r="AB4" i="5"/>
  <c r="AA4" i="5"/>
  <c r="Z4" i="5"/>
  <c r="Y4" i="5"/>
  <c r="X4" i="5"/>
  <c r="W4" i="5"/>
  <c r="V4" i="5"/>
  <c r="U4" i="5"/>
  <c r="T4" i="5"/>
  <c r="S4" i="5"/>
  <c r="R4" i="5"/>
  <c r="Q4" i="5"/>
  <c r="P4" i="5"/>
  <c r="O4" i="5"/>
  <c r="L51" i="2" s="1"/>
  <c r="N4" i="5"/>
  <c r="M4" i="5"/>
  <c r="L4" i="5"/>
  <c r="K4" i="5"/>
  <c r="H51" i="2" s="1"/>
  <c r="J4" i="5"/>
  <c r="I4" i="5"/>
  <c r="H4" i="5"/>
  <c r="G4" i="5"/>
  <c r="F4" i="5"/>
  <c r="E4" i="5"/>
  <c r="AC13" i="4"/>
  <c r="Z46" i="2" s="1"/>
  <c r="AB13" i="4"/>
  <c r="AA13" i="4"/>
  <c r="Z13" i="4"/>
  <c r="Y13" i="4"/>
  <c r="X13" i="4"/>
  <c r="W13" i="4"/>
  <c r="V13" i="4"/>
  <c r="U13" i="4"/>
  <c r="T13" i="4"/>
  <c r="AI13" i="4" s="1"/>
  <c r="S13" i="4"/>
  <c r="R13" i="4"/>
  <c r="Q13" i="4"/>
  <c r="AH13" i="4" s="1"/>
  <c r="P13" i="4"/>
  <c r="M46" i="2" s="1"/>
  <c r="O13" i="4"/>
  <c r="L46" i="2" s="1"/>
  <c r="N13" i="4"/>
  <c r="M13" i="4"/>
  <c r="L13" i="4"/>
  <c r="K13" i="4"/>
  <c r="J13" i="4"/>
  <c r="I13" i="4"/>
  <c r="AD13" i="4" s="1"/>
  <c r="H13" i="4"/>
  <c r="G13" i="4"/>
  <c r="F13" i="4"/>
  <c r="E13" i="4"/>
  <c r="AB12" i="4"/>
  <c r="Y45" i="2" s="1"/>
  <c r="AA12" i="4"/>
  <c r="Z12" i="4"/>
  <c r="Y12" i="4"/>
  <c r="X12" i="4"/>
  <c r="W12" i="4"/>
  <c r="AJ12" i="4" s="1"/>
  <c r="AG45" i="2" s="1"/>
  <c r="V12" i="4"/>
  <c r="S45" i="2" s="1"/>
  <c r="U12" i="4"/>
  <c r="T12" i="4"/>
  <c r="S12" i="4"/>
  <c r="AH12" i="4" s="1"/>
  <c r="R12" i="4"/>
  <c r="Q12" i="4"/>
  <c r="P12" i="4"/>
  <c r="AF12" i="4" s="1"/>
  <c r="AC45" i="2" s="1"/>
  <c r="O12" i="4"/>
  <c r="L45" i="2" s="1"/>
  <c r="N12" i="4"/>
  <c r="M12" i="4"/>
  <c r="L12" i="4"/>
  <c r="K12" i="4"/>
  <c r="AE12" i="4" s="1"/>
  <c r="J12" i="4"/>
  <c r="I12" i="4"/>
  <c r="H12" i="4"/>
  <c r="AD12" i="4" s="1"/>
  <c r="AA45" i="2" s="1"/>
  <c r="G12" i="4"/>
  <c r="F12" i="4"/>
  <c r="E12" i="4"/>
  <c r="AC12" i="4" s="1"/>
  <c r="AC11" i="4"/>
  <c r="Z44" i="2" s="1"/>
  <c r="AB11" i="4"/>
  <c r="Y44" i="2" s="1"/>
  <c r="AA11" i="4"/>
  <c r="X44" i="2" s="1"/>
  <c r="Z11" i="4"/>
  <c r="AK11" i="4" s="1"/>
  <c r="AH44" i="2" s="1"/>
  <c r="Y11" i="4"/>
  <c r="V44" i="2" s="1"/>
  <c r="X11" i="4"/>
  <c r="U44" i="2" s="1"/>
  <c r="W11" i="4"/>
  <c r="AJ11" i="4" s="1"/>
  <c r="V11" i="4"/>
  <c r="S44" i="2" s="1"/>
  <c r="U11" i="4"/>
  <c r="T11" i="4"/>
  <c r="S11" i="4"/>
  <c r="P44" i="2" s="1"/>
  <c r="R11" i="4"/>
  <c r="O44" i="2" s="1"/>
  <c r="Q11" i="4"/>
  <c r="N44" i="2" s="1"/>
  <c r="P11" i="4"/>
  <c r="M44" i="2" s="1"/>
  <c r="O11" i="4"/>
  <c r="N11" i="4"/>
  <c r="K44" i="2" s="1"/>
  <c r="M11" i="4"/>
  <c r="J44" i="2" s="1"/>
  <c r="L11" i="4"/>
  <c r="I44" i="2" s="1"/>
  <c r="K11" i="4"/>
  <c r="AE11" i="4" s="1"/>
  <c r="AB44" i="2" s="1"/>
  <c r="J11" i="4"/>
  <c r="G44" i="2" s="1"/>
  <c r="I11" i="4"/>
  <c r="H11" i="4"/>
  <c r="E44" i="2" s="1"/>
  <c r="G11" i="4"/>
  <c r="F11" i="4"/>
  <c r="E11" i="4"/>
  <c r="B44" i="2" s="1"/>
  <c r="AB10" i="4"/>
  <c r="Y43" i="2" s="1"/>
  <c r="AA10" i="4"/>
  <c r="Z10" i="4"/>
  <c r="W43" i="2" s="1"/>
  <c r="Y10" i="4"/>
  <c r="V43" i="2" s="1"/>
  <c r="X10" i="4"/>
  <c r="W10" i="4"/>
  <c r="T43" i="2" s="1"/>
  <c r="V10" i="4"/>
  <c r="S43" i="2" s="1"/>
  <c r="U10" i="4"/>
  <c r="R43" i="2" s="1"/>
  <c r="T10" i="4"/>
  <c r="Q43" i="2" s="1"/>
  <c r="S10" i="4"/>
  <c r="R10" i="4"/>
  <c r="Q10" i="4"/>
  <c r="N43" i="2" s="1"/>
  <c r="P10" i="4"/>
  <c r="O10" i="4"/>
  <c r="L43" i="2" s="1"/>
  <c r="N10" i="4"/>
  <c r="M10" i="4"/>
  <c r="J43" i="2" s="1"/>
  <c r="L10" i="4"/>
  <c r="I43" i="2" s="1"/>
  <c r="K10" i="4"/>
  <c r="J10" i="4"/>
  <c r="G43" i="2" s="1"/>
  <c r="I10" i="4"/>
  <c r="F43" i="2" s="1"/>
  <c r="H10" i="4"/>
  <c r="G10" i="4"/>
  <c r="D43" i="2" s="1"/>
  <c r="F10" i="4"/>
  <c r="C43" i="2" s="1"/>
  <c r="E10" i="4"/>
  <c r="B43" i="2" s="1"/>
  <c r="AK9" i="4"/>
  <c r="AH42" i="2" s="1"/>
  <c r="AB9" i="4"/>
  <c r="AA9" i="4"/>
  <c r="Z9" i="4"/>
  <c r="Y9" i="4"/>
  <c r="X9" i="4"/>
  <c r="W9" i="4"/>
  <c r="AJ9" i="4" s="1"/>
  <c r="V9" i="4"/>
  <c r="U9" i="4"/>
  <c r="T9" i="4"/>
  <c r="AI9" i="4" s="1"/>
  <c r="AF42" i="2" s="1"/>
  <c r="S9" i="4"/>
  <c r="S14" i="4" s="1"/>
  <c r="P47" i="2" s="1"/>
  <c r="R9" i="4"/>
  <c r="O42" i="2" s="1"/>
  <c r="Q9" i="4"/>
  <c r="P9" i="4"/>
  <c r="O9" i="4"/>
  <c r="N9" i="4"/>
  <c r="AF9" i="4" s="1"/>
  <c r="AC42" i="2" s="1"/>
  <c r="M9" i="4"/>
  <c r="L9" i="4"/>
  <c r="K9" i="4"/>
  <c r="AE9" i="4" s="1"/>
  <c r="AB42" i="2" s="1"/>
  <c r="J9" i="4"/>
  <c r="I9" i="4"/>
  <c r="H9" i="4"/>
  <c r="G9" i="4"/>
  <c r="F9" i="4"/>
  <c r="E9" i="4"/>
  <c r="AC9" i="4" s="1"/>
  <c r="AB8" i="4"/>
  <c r="Y41" i="2" s="1"/>
  <c r="AA8" i="4"/>
  <c r="X41" i="2" s="1"/>
  <c r="Z8" i="4"/>
  <c r="Y8" i="4"/>
  <c r="X8" i="4"/>
  <c r="W8" i="4"/>
  <c r="V8" i="4"/>
  <c r="S41" i="2" s="1"/>
  <c r="U8" i="4"/>
  <c r="T8" i="4"/>
  <c r="AI8" i="4" s="1"/>
  <c r="AF41" i="2" s="1"/>
  <c r="S8" i="4"/>
  <c r="R8" i="4"/>
  <c r="Q8" i="4"/>
  <c r="P8" i="4"/>
  <c r="O8" i="4"/>
  <c r="N8" i="4"/>
  <c r="K41" i="2" s="1"/>
  <c r="M8" i="4"/>
  <c r="J41" i="2" s="1"/>
  <c r="L8" i="4"/>
  <c r="K8" i="4"/>
  <c r="J8" i="4"/>
  <c r="I8" i="4"/>
  <c r="H8" i="4"/>
  <c r="G8" i="4"/>
  <c r="D41" i="2" s="1"/>
  <c r="F8" i="4"/>
  <c r="C41" i="2" s="1"/>
  <c r="E8" i="4"/>
  <c r="B41" i="2" s="1"/>
  <c r="AB7" i="4"/>
  <c r="AA7" i="4"/>
  <c r="Z7" i="4"/>
  <c r="AK7" i="4" s="1"/>
  <c r="AH40" i="2" s="1"/>
  <c r="Y7" i="4"/>
  <c r="X7" i="4"/>
  <c r="U40" i="2" s="1"/>
  <c r="W7" i="4"/>
  <c r="V7" i="4"/>
  <c r="U7" i="4"/>
  <c r="T7" i="4"/>
  <c r="S7" i="4"/>
  <c r="R7" i="4"/>
  <c r="Q7" i="4"/>
  <c r="P7" i="4"/>
  <c r="O7" i="4"/>
  <c r="N7" i="4"/>
  <c r="M7" i="4"/>
  <c r="L7" i="4"/>
  <c r="K7" i="4"/>
  <c r="J7" i="4"/>
  <c r="I7" i="4"/>
  <c r="H7" i="4"/>
  <c r="G7" i="4"/>
  <c r="D40" i="2" s="1"/>
  <c r="F7" i="4"/>
  <c r="E7" i="4"/>
  <c r="AH6" i="4"/>
  <c r="AB6" i="4"/>
  <c r="AA6" i="4"/>
  <c r="Z6" i="4"/>
  <c r="AK6" i="4" s="1"/>
  <c r="Y6" i="4"/>
  <c r="X6" i="4"/>
  <c r="W6" i="4"/>
  <c r="V6" i="4"/>
  <c r="U6" i="4"/>
  <c r="T6" i="4"/>
  <c r="S6" i="4"/>
  <c r="R6" i="4"/>
  <c r="Q6" i="4"/>
  <c r="P6" i="4"/>
  <c r="AF6" i="4" s="1"/>
  <c r="O6" i="4"/>
  <c r="N6" i="4"/>
  <c r="M6" i="4"/>
  <c r="L6" i="4"/>
  <c r="K6" i="4"/>
  <c r="AE6" i="4" s="1"/>
  <c r="AB39" i="2" s="1"/>
  <c r="J6" i="4"/>
  <c r="I6" i="4"/>
  <c r="H6" i="4"/>
  <c r="AD6" i="4" s="1"/>
  <c r="G6" i="4"/>
  <c r="F6" i="4"/>
  <c r="E6" i="4"/>
  <c r="AB5" i="4"/>
  <c r="Y38" i="2" s="1"/>
  <c r="AA5" i="4"/>
  <c r="Z5" i="4"/>
  <c r="Y5" i="4"/>
  <c r="V38" i="2" s="1"/>
  <c r="X5" i="4"/>
  <c r="W5" i="4"/>
  <c r="AJ5" i="4" s="1"/>
  <c r="AG38" i="2" s="1"/>
  <c r="V5" i="4"/>
  <c r="U5" i="4"/>
  <c r="R38" i="2" s="1"/>
  <c r="T5" i="4"/>
  <c r="S5" i="4"/>
  <c r="P38" i="2" s="1"/>
  <c r="R5" i="4"/>
  <c r="O38" i="2" s="1"/>
  <c r="Q5" i="4"/>
  <c r="P5" i="4"/>
  <c r="M38" i="2" s="1"/>
  <c r="O5" i="4"/>
  <c r="N5" i="4"/>
  <c r="K38" i="2" s="1"/>
  <c r="M5" i="4"/>
  <c r="L5" i="4"/>
  <c r="K5" i="4"/>
  <c r="H38" i="2" s="1"/>
  <c r="J5" i="4"/>
  <c r="I5" i="4"/>
  <c r="F38" i="2" s="1"/>
  <c r="H5" i="4"/>
  <c r="E38" i="2" s="1"/>
  <c r="G5" i="4"/>
  <c r="D38" i="2" s="1"/>
  <c r="F5" i="4"/>
  <c r="C38" i="2" s="1"/>
  <c r="E5" i="4"/>
  <c r="AC5" i="4" s="1"/>
  <c r="Z38" i="2" s="1"/>
  <c r="AJ4" i="4"/>
  <c r="AH4" i="4"/>
  <c r="AE4" i="4"/>
  <c r="AD4" i="4"/>
  <c r="AB4" i="4"/>
  <c r="AA4" i="4"/>
  <c r="Z4" i="4"/>
  <c r="Y4" i="4"/>
  <c r="X4" i="4"/>
  <c r="W4" i="4"/>
  <c r="V4" i="4"/>
  <c r="U4" i="4"/>
  <c r="T4" i="4"/>
  <c r="AI4" i="4" s="1"/>
  <c r="S4" i="4"/>
  <c r="R4" i="4"/>
  <c r="Q4" i="4"/>
  <c r="P4" i="4"/>
  <c r="O4" i="4"/>
  <c r="N4" i="4"/>
  <c r="M4" i="4"/>
  <c r="L4" i="4"/>
  <c r="K4" i="4"/>
  <c r="J4" i="4"/>
  <c r="I4" i="4"/>
  <c r="H4" i="4"/>
  <c r="G4" i="4"/>
  <c r="F4" i="4"/>
  <c r="E4" i="4"/>
  <c r="AC4" i="4" s="1"/>
  <c r="AB28" i="3"/>
  <c r="Y32" i="2" s="1"/>
  <c r="AA28" i="3"/>
  <c r="X32" i="2" s="1"/>
  <c r="Z28" i="3"/>
  <c r="W32" i="2" s="1"/>
  <c r="Y28" i="3"/>
  <c r="V32" i="2" s="1"/>
  <c r="X28" i="3"/>
  <c r="U32" i="2" s="1"/>
  <c r="W28" i="3"/>
  <c r="T32" i="2" s="1"/>
  <c r="V28" i="3"/>
  <c r="S32" i="2" s="1"/>
  <c r="U28" i="3"/>
  <c r="R32" i="2" s="1"/>
  <c r="T28" i="3"/>
  <c r="Q32" i="2" s="1"/>
  <c r="S28" i="3"/>
  <c r="P32" i="2" s="1"/>
  <c r="R28" i="3"/>
  <c r="O32" i="2" s="1"/>
  <c r="Q28" i="3"/>
  <c r="N32" i="2" s="1"/>
  <c r="P28" i="3"/>
  <c r="M32" i="2" s="1"/>
  <c r="O28" i="3"/>
  <c r="L32" i="2" s="1"/>
  <c r="N28" i="3"/>
  <c r="K32" i="2" s="1"/>
  <c r="M28" i="3"/>
  <c r="J32" i="2" s="1"/>
  <c r="L28" i="3"/>
  <c r="I32" i="2" s="1"/>
  <c r="K28" i="3"/>
  <c r="H32" i="2" s="1"/>
  <c r="J28" i="3"/>
  <c r="G32" i="2" s="1"/>
  <c r="I28" i="3"/>
  <c r="F32" i="2" s="1"/>
  <c r="H28" i="3"/>
  <c r="G28" i="3"/>
  <c r="D32" i="2" s="1"/>
  <c r="F28" i="3"/>
  <c r="C32" i="2" s="1"/>
  <c r="E28" i="3"/>
  <c r="B32" i="2" s="1"/>
  <c r="AB25" i="3"/>
  <c r="Y29" i="2" s="1"/>
  <c r="Z25" i="3"/>
  <c r="W29" i="2" s="1"/>
  <c r="Y25" i="3"/>
  <c r="V29" i="2" s="1"/>
  <c r="X25" i="3"/>
  <c r="U29" i="2" s="1"/>
  <c r="T25" i="3"/>
  <c r="Q29" i="2" s="1"/>
  <c r="Q25" i="3"/>
  <c r="N29" i="2" s="1"/>
  <c r="P25" i="3"/>
  <c r="M29" i="2" s="1"/>
  <c r="N25" i="3"/>
  <c r="K29" i="2" s="1"/>
  <c r="M25" i="3"/>
  <c r="J29" i="2" s="1"/>
  <c r="K25" i="3"/>
  <c r="H29" i="2" s="1"/>
  <c r="J25" i="3"/>
  <c r="G29" i="2" s="1"/>
  <c r="I25" i="3"/>
  <c r="F29" i="2" s="1"/>
  <c r="F25" i="3"/>
  <c r="C29" i="2" s="1"/>
  <c r="E25" i="3"/>
  <c r="B29" i="2" s="1"/>
  <c r="D25" i="3"/>
  <c r="R25" i="3" s="1"/>
  <c r="O29" i="2" s="1"/>
  <c r="O24" i="3"/>
  <c r="L28" i="2" s="1"/>
  <c r="E24" i="3"/>
  <c r="B28" i="2" s="1"/>
  <c r="D24" i="3"/>
  <c r="AB23" i="3"/>
  <c r="Y27" i="2" s="1"/>
  <c r="AA23" i="3"/>
  <c r="X27" i="2" s="1"/>
  <c r="Z23" i="3"/>
  <c r="W27" i="2" s="1"/>
  <c r="Y23" i="3"/>
  <c r="V27" i="2" s="1"/>
  <c r="X23" i="3"/>
  <c r="U27" i="2" s="1"/>
  <c r="S23" i="3"/>
  <c r="P27" i="2" s="1"/>
  <c r="Q23" i="3"/>
  <c r="N27" i="2" s="1"/>
  <c r="P23" i="3"/>
  <c r="M27" i="2" s="1"/>
  <c r="O23" i="3"/>
  <c r="L27" i="2" s="1"/>
  <c r="N23" i="3"/>
  <c r="K27" i="2" s="1"/>
  <c r="M23" i="3"/>
  <c r="J27" i="2" s="1"/>
  <c r="L23" i="3"/>
  <c r="I27" i="2" s="1"/>
  <c r="K23" i="3"/>
  <c r="H27" i="2" s="1"/>
  <c r="J23" i="3"/>
  <c r="G27" i="2" s="1"/>
  <c r="I23" i="3"/>
  <c r="F27" i="2" s="1"/>
  <c r="H23" i="3"/>
  <c r="E27" i="2" s="1"/>
  <c r="D23" i="3"/>
  <c r="T23" i="3" s="1"/>
  <c r="Q27" i="2" s="1"/>
  <c r="W22" i="3"/>
  <c r="T26" i="2" s="1"/>
  <c r="F22" i="3"/>
  <c r="C26" i="2" s="1"/>
  <c r="D22" i="3"/>
  <c r="AA22" i="3" s="1"/>
  <c r="X26" i="2" s="1"/>
  <c r="AA21" i="3"/>
  <c r="X25" i="2" s="1"/>
  <c r="Y21" i="3"/>
  <c r="V25" i="2" s="1"/>
  <c r="X21" i="3"/>
  <c r="U25" i="2" s="1"/>
  <c r="W21" i="3"/>
  <c r="T25" i="2" s="1"/>
  <c r="V21" i="3"/>
  <c r="S25" i="2" s="1"/>
  <c r="U21" i="3"/>
  <c r="R25" i="2" s="1"/>
  <c r="T21" i="3"/>
  <c r="Q25" i="2" s="1"/>
  <c r="S21" i="3"/>
  <c r="P25" i="2" s="1"/>
  <c r="R21" i="3"/>
  <c r="O25" i="2" s="1"/>
  <c r="Q21" i="3"/>
  <c r="N25" i="2" s="1"/>
  <c r="P21" i="3"/>
  <c r="M25" i="2" s="1"/>
  <c r="O21" i="3"/>
  <c r="L25" i="2" s="1"/>
  <c r="N21" i="3"/>
  <c r="K25" i="2" s="1"/>
  <c r="M21" i="3"/>
  <c r="J25" i="2" s="1"/>
  <c r="L21" i="3"/>
  <c r="I25" i="2" s="1"/>
  <c r="K21" i="3"/>
  <c r="H25" i="2" s="1"/>
  <c r="J21" i="3"/>
  <c r="G25" i="2" s="1"/>
  <c r="I21" i="3"/>
  <c r="F25" i="2" s="1"/>
  <c r="H21" i="3"/>
  <c r="E25" i="2" s="1"/>
  <c r="G21" i="3"/>
  <c r="D25" i="2" s="1"/>
  <c r="F21" i="3"/>
  <c r="C25" i="2" s="1"/>
  <c r="E21" i="3"/>
  <c r="B25" i="2" s="1"/>
  <c r="D21" i="3"/>
  <c r="AB21" i="3" s="1"/>
  <c r="Y25" i="2" s="1"/>
  <c r="Z20" i="3"/>
  <c r="W24" i="2" s="1"/>
  <c r="X20" i="3"/>
  <c r="U24" i="2" s="1"/>
  <c r="W20" i="3"/>
  <c r="T24" i="2" s="1"/>
  <c r="V20" i="3"/>
  <c r="S24" i="2" s="1"/>
  <c r="U20" i="3"/>
  <c r="R24" i="2" s="1"/>
  <c r="T20" i="3"/>
  <c r="Q24" i="2" s="1"/>
  <c r="S20" i="3"/>
  <c r="P24" i="2" s="1"/>
  <c r="R20" i="3"/>
  <c r="O24" i="2" s="1"/>
  <c r="Q20" i="3"/>
  <c r="N24" i="2" s="1"/>
  <c r="P20" i="3"/>
  <c r="M24" i="2" s="1"/>
  <c r="O20" i="3"/>
  <c r="L24" i="2" s="1"/>
  <c r="N20" i="3"/>
  <c r="K24" i="2" s="1"/>
  <c r="M20" i="3"/>
  <c r="J24" i="2" s="1"/>
  <c r="L20" i="3"/>
  <c r="I24" i="2" s="1"/>
  <c r="K20" i="3"/>
  <c r="H24" i="2" s="1"/>
  <c r="J20" i="3"/>
  <c r="G24" i="2" s="1"/>
  <c r="I20" i="3"/>
  <c r="F24" i="2" s="1"/>
  <c r="H20" i="3"/>
  <c r="E24" i="2" s="1"/>
  <c r="G20" i="3"/>
  <c r="D24" i="2" s="1"/>
  <c r="F20" i="3"/>
  <c r="C24" i="2" s="1"/>
  <c r="E20" i="3"/>
  <c r="B24" i="2" s="1"/>
  <c r="D20" i="3"/>
  <c r="W19" i="3"/>
  <c r="T23" i="2" s="1"/>
  <c r="V19" i="3"/>
  <c r="S23" i="2" s="1"/>
  <c r="U19" i="3"/>
  <c r="R23" i="2" s="1"/>
  <c r="T19" i="3"/>
  <c r="Q23" i="2" s="1"/>
  <c r="S19" i="3"/>
  <c r="P23" i="2" s="1"/>
  <c r="R19" i="3"/>
  <c r="O23" i="2" s="1"/>
  <c r="Q19" i="3"/>
  <c r="N23" i="2" s="1"/>
  <c r="P19" i="3"/>
  <c r="M23" i="2" s="1"/>
  <c r="O19" i="3"/>
  <c r="L23" i="2" s="1"/>
  <c r="N19" i="3"/>
  <c r="K23" i="2" s="1"/>
  <c r="M19" i="3"/>
  <c r="J23" i="2" s="1"/>
  <c r="L19" i="3"/>
  <c r="K19" i="3"/>
  <c r="H23" i="2" s="1"/>
  <c r="J19" i="3"/>
  <c r="G23" i="2" s="1"/>
  <c r="I19" i="3"/>
  <c r="F23" i="2" s="1"/>
  <c r="H19" i="3"/>
  <c r="E23" i="2" s="1"/>
  <c r="G19" i="3"/>
  <c r="D23" i="2" s="1"/>
  <c r="F19" i="3"/>
  <c r="C23" i="2" s="1"/>
  <c r="E19" i="3"/>
  <c r="B23" i="2" s="1"/>
  <c r="D19" i="3"/>
  <c r="AB18" i="3"/>
  <c r="Y22" i="2" s="1"/>
  <c r="V18" i="3"/>
  <c r="S22" i="2" s="1"/>
  <c r="U18" i="3"/>
  <c r="R22" i="2" s="1"/>
  <c r="T18" i="3"/>
  <c r="Q22" i="2" s="1"/>
  <c r="S18" i="3"/>
  <c r="P22" i="2" s="1"/>
  <c r="R18" i="3"/>
  <c r="O22" i="2" s="1"/>
  <c r="Q18" i="3"/>
  <c r="N22" i="2" s="1"/>
  <c r="P18" i="3"/>
  <c r="M22" i="2" s="1"/>
  <c r="O18" i="3"/>
  <c r="L22" i="2" s="1"/>
  <c r="N18" i="3"/>
  <c r="K22" i="2" s="1"/>
  <c r="M18" i="3"/>
  <c r="J22" i="2" s="1"/>
  <c r="L18" i="3"/>
  <c r="I22" i="2" s="1"/>
  <c r="K18" i="3"/>
  <c r="H22" i="2" s="1"/>
  <c r="J18" i="3"/>
  <c r="G22" i="2" s="1"/>
  <c r="I18" i="3"/>
  <c r="F22" i="2" s="1"/>
  <c r="H18" i="3"/>
  <c r="E22" i="2" s="1"/>
  <c r="G18" i="3"/>
  <c r="D22" i="2" s="1"/>
  <c r="F18" i="3"/>
  <c r="C22" i="2" s="1"/>
  <c r="E18" i="3"/>
  <c r="B22" i="2" s="1"/>
  <c r="D18" i="3"/>
  <c r="AA18" i="3" s="1"/>
  <c r="X22" i="2" s="1"/>
  <c r="AA17" i="3"/>
  <c r="X21" i="2" s="1"/>
  <c r="U17" i="3"/>
  <c r="R21" i="2" s="1"/>
  <c r="T17" i="3"/>
  <c r="Q21" i="2" s="1"/>
  <c r="S17" i="3"/>
  <c r="P21" i="2" s="1"/>
  <c r="R17" i="3"/>
  <c r="O21" i="2" s="1"/>
  <c r="Q17" i="3"/>
  <c r="N21" i="2" s="1"/>
  <c r="P17" i="3"/>
  <c r="M21" i="2" s="1"/>
  <c r="O17" i="3"/>
  <c r="L21" i="2" s="1"/>
  <c r="N17" i="3"/>
  <c r="K21" i="2" s="1"/>
  <c r="M17" i="3"/>
  <c r="J21" i="2" s="1"/>
  <c r="L17" i="3"/>
  <c r="I21" i="2" s="1"/>
  <c r="K17" i="3"/>
  <c r="H21" i="2" s="1"/>
  <c r="J17" i="3"/>
  <c r="G21" i="2" s="1"/>
  <c r="I17" i="3"/>
  <c r="F21" i="2" s="1"/>
  <c r="H17" i="3"/>
  <c r="AD17" i="3" s="1"/>
  <c r="AA21" i="2" s="1"/>
  <c r="G17" i="3"/>
  <c r="D21" i="2" s="1"/>
  <c r="F17" i="3"/>
  <c r="C21" i="2" s="1"/>
  <c r="E17" i="3"/>
  <c r="B21" i="2" s="1"/>
  <c r="D17" i="3"/>
  <c r="Z13" i="3"/>
  <c r="W11" i="2" s="1"/>
  <c r="Q13" i="3"/>
  <c r="N11" i="2" s="1"/>
  <c r="L13" i="3"/>
  <c r="I11" i="2" s="1"/>
  <c r="K13" i="3"/>
  <c r="H11" i="2" s="1"/>
  <c r="G13" i="3"/>
  <c r="D11" i="2" s="1"/>
  <c r="F13" i="3"/>
  <c r="C11" i="2" s="1"/>
  <c r="E13" i="3"/>
  <c r="B11" i="2" s="1"/>
  <c r="D13" i="3"/>
  <c r="T13" i="3" s="1"/>
  <c r="Q11" i="2" s="1"/>
  <c r="P6" i="3"/>
  <c r="M10" i="2" s="1"/>
  <c r="H6" i="3"/>
  <c r="E10" i="2" s="1"/>
  <c r="F6" i="3"/>
  <c r="C10" i="2" s="1"/>
  <c r="E6" i="3"/>
  <c r="B10" i="2" s="1"/>
  <c r="D6" i="3"/>
  <c r="AA6" i="3" s="1"/>
  <c r="X10" i="2" s="1"/>
  <c r="Q5" i="3"/>
  <c r="N9" i="2" s="1"/>
  <c r="P5" i="3"/>
  <c r="M9" i="2" s="1"/>
  <c r="K5" i="3"/>
  <c r="H9" i="2" s="1"/>
  <c r="F5" i="3"/>
  <c r="C9" i="2" s="1"/>
  <c r="E5" i="3"/>
  <c r="B9" i="2" s="1"/>
  <c r="D5" i="3"/>
  <c r="AB5" i="3" s="1"/>
  <c r="Y9" i="2" s="1"/>
  <c r="R16" i="3"/>
  <c r="O20" i="2" s="1"/>
  <c r="P16" i="3"/>
  <c r="M20" i="2" s="1"/>
  <c r="O16" i="3"/>
  <c r="L20" i="2" s="1"/>
  <c r="N16" i="3"/>
  <c r="K20" i="2" s="1"/>
  <c r="M16" i="3"/>
  <c r="J20" i="2" s="1"/>
  <c r="L16" i="3"/>
  <c r="I20" i="2" s="1"/>
  <c r="K16" i="3"/>
  <c r="H20" i="2" s="1"/>
  <c r="J16" i="3"/>
  <c r="G20" i="2" s="1"/>
  <c r="I16" i="3"/>
  <c r="F20" i="2" s="1"/>
  <c r="H16" i="3"/>
  <c r="E20" i="2" s="1"/>
  <c r="G16" i="3"/>
  <c r="D20" i="2" s="1"/>
  <c r="F16" i="3"/>
  <c r="C20" i="2" s="1"/>
  <c r="E16" i="3"/>
  <c r="B20" i="2" s="1"/>
  <c r="D16" i="3"/>
  <c r="W16" i="3" s="1"/>
  <c r="T20" i="2" s="1"/>
  <c r="P15" i="3"/>
  <c r="M19" i="2" s="1"/>
  <c r="O15" i="3"/>
  <c r="L19" i="2" s="1"/>
  <c r="N15" i="3"/>
  <c r="K19" i="2" s="1"/>
  <c r="M15" i="3"/>
  <c r="J19" i="2" s="1"/>
  <c r="L15" i="3"/>
  <c r="I19" i="2" s="1"/>
  <c r="K15" i="3"/>
  <c r="H19" i="2" s="1"/>
  <c r="J15" i="3"/>
  <c r="G19" i="2" s="1"/>
  <c r="I15" i="3"/>
  <c r="F19" i="2" s="1"/>
  <c r="H15" i="3"/>
  <c r="AD15" i="3" s="1"/>
  <c r="AA19" i="2" s="1"/>
  <c r="G15" i="3"/>
  <c r="D19" i="2" s="1"/>
  <c r="F15" i="3"/>
  <c r="C19" i="2" s="1"/>
  <c r="E15" i="3"/>
  <c r="B19" i="2" s="1"/>
  <c r="D15" i="3"/>
  <c r="Q15" i="3" s="1"/>
  <c r="N19" i="2" s="1"/>
  <c r="Y14" i="3"/>
  <c r="V18" i="2" s="1"/>
  <c r="T14" i="3"/>
  <c r="Q18" i="2" s="1"/>
  <c r="Q14" i="3"/>
  <c r="N18" i="2" s="1"/>
  <c r="L14" i="3"/>
  <c r="I18" i="2" s="1"/>
  <c r="K14" i="3"/>
  <c r="H18" i="2" s="1"/>
  <c r="J14" i="3"/>
  <c r="G18" i="2" s="1"/>
  <c r="I14" i="3"/>
  <c r="F18" i="2" s="1"/>
  <c r="H14" i="3"/>
  <c r="E18" i="2" s="1"/>
  <c r="G14" i="3"/>
  <c r="D18" i="2" s="1"/>
  <c r="F14" i="3"/>
  <c r="C18" i="2" s="1"/>
  <c r="E14" i="3"/>
  <c r="B18" i="2" s="1"/>
  <c r="D14" i="3"/>
  <c r="R14" i="3" s="1"/>
  <c r="O18" i="2" s="1"/>
  <c r="AB11" i="3"/>
  <c r="Y17" i="2" s="1"/>
  <c r="W11" i="3"/>
  <c r="T17" i="2" s="1"/>
  <c r="R11" i="3"/>
  <c r="O17" i="2" s="1"/>
  <c r="Q11" i="3"/>
  <c r="N17" i="2" s="1"/>
  <c r="P11" i="3"/>
  <c r="M17" i="2" s="1"/>
  <c r="O11" i="3"/>
  <c r="L17" i="2" s="1"/>
  <c r="N11" i="3"/>
  <c r="K17" i="2" s="1"/>
  <c r="K11" i="3"/>
  <c r="H17" i="2" s="1"/>
  <c r="J11" i="3"/>
  <c r="G17" i="2" s="1"/>
  <c r="I11" i="3"/>
  <c r="F17" i="2" s="1"/>
  <c r="H11" i="3"/>
  <c r="E17" i="2" s="1"/>
  <c r="G11" i="3"/>
  <c r="D17" i="2" s="1"/>
  <c r="F11" i="3"/>
  <c r="C17" i="2" s="1"/>
  <c r="E11" i="3"/>
  <c r="B17" i="2" s="1"/>
  <c r="D11" i="3"/>
  <c r="AA11" i="3" s="1"/>
  <c r="X17" i="2" s="1"/>
  <c r="D10" i="3"/>
  <c r="S10" i="3" s="1"/>
  <c r="P16" i="2" s="1"/>
  <c r="D7" i="3"/>
  <c r="E9" i="3"/>
  <c r="B15" i="2" s="1"/>
  <c r="D9" i="3"/>
  <c r="F9" i="3" s="1"/>
  <c r="C15" i="2" s="1"/>
  <c r="F12" i="3"/>
  <c r="C14" i="2" s="1"/>
  <c r="E12" i="3"/>
  <c r="B14" i="2" s="1"/>
  <c r="D12" i="3"/>
  <c r="R12" i="3" s="1"/>
  <c r="O14" i="2" s="1"/>
  <c r="E8" i="3"/>
  <c r="B13" i="2" s="1"/>
  <c r="D8" i="3"/>
  <c r="P8" i="3" s="1"/>
  <c r="M13" i="2" s="1"/>
  <c r="D4" i="3"/>
  <c r="T4" i="3" s="1"/>
  <c r="Q8" i="2" s="1"/>
  <c r="D3" i="3"/>
  <c r="R3" i="3" s="1"/>
  <c r="O7" i="2" s="1"/>
  <c r="D2" i="3"/>
  <c r="Q2" i="3" s="1"/>
  <c r="AH70" i="2"/>
  <c r="AE70" i="2"/>
  <c r="X70" i="2"/>
  <c r="V70" i="2"/>
  <c r="P70" i="2"/>
  <c r="O70" i="2"/>
  <c r="N70" i="2"/>
  <c r="M70" i="2"/>
  <c r="K70" i="2"/>
  <c r="B70" i="2"/>
  <c r="A70" i="2"/>
  <c r="AH69" i="2"/>
  <c r="AF69" i="2"/>
  <c r="Y69" i="2"/>
  <c r="X69" i="2"/>
  <c r="W69" i="2"/>
  <c r="V69" i="2"/>
  <c r="U69" i="2"/>
  <c r="T69" i="2"/>
  <c r="S69" i="2"/>
  <c r="R69" i="2"/>
  <c r="N69" i="2"/>
  <c r="M69" i="2"/>
  <c r="L69" i="2"/>
  <c r="K69" i="2"/>
  <c r="J69" i="2"/>
  <c r="I69" i="2"/>
  <c r="H69" i="2"/>
  <c r="G69" i="2"/>
  <c r="F69" i="2"/>
  <c r="E69" i="2"/>
  <c r="D69" i="2"/>
  <c r="A69" i="2"/>
  <c r="AG68" i="2"/>
  <c r="Y68" i="2"/>
  <c r="X68" i="2"/>
  <c r="W68" i="2"/>
  <c r="V68" i="2"/>
  <c r="K68" i="2"/>
  <c r="J68" i="2"/>
  <c r="I68" i="2"/>
  <c r="H68" i="2"/>
  <c r="A68" i="2"/>
  <c r="Z67" i="2"/>
  <c r="T67" i="2"/>
  <c r="R67" i="2"/>
  <c r="Q67" i="2"/>
  <c r="F67" i="2"/>
  <c r="D67" i="2"/>
  <c r="C67" i="2"/>
  <c r="A67" i="2"/>
  <c r="Y66" i="2"/>
  <c r="W66" i="2"/>
  <c r="V66" i="2"/>
  <c r="U66" i="2"/>
  <c r="P66" i="2"/>
  <c r="O66" i="2"/>
  <c r="N66" i="2"/>
  <c r="M66" i="2"/>
  <c r="L66" i="2"/>
  <c r="K66" i="2"/>
  <c r="I66" i="2"/>
  <c r="H66" i="2"/>
  <c r="G66" i="2"/>
  <c r="B66" i="2"/>
  <c r="A66" i="2"/>
  <c r="Y65" i="2"/>
  <c r="X65" i="2"/>
  <c r="L65" i="2"/>
  <c r="K65" i="2"/>
  <c r="J65" i="2"/>
  <c r="A65" i="2"/>
  <c r="AG60" i="2"/>
  <c r="AA60" i="2"/>
  <c r="W60" i="2"/>
  <c r="V60" i="2"/>
  <c r="U60" i="2"/>
  <c r="Q60" i="2"/>
  <c r="P60" i="2"/>
  <c r="O60" i="2"/>
  <c r="N60" i="2"/>
  <c r="K60" i="2"/>
  <c r="I60" i="2"/>
  <c r="H60" i="2"/>
  <c r="G60" i="2"/>
  <c r="E60" i="2"/>
  <c r="A60" i="2"/>
  <c r="AH59" i="2"/>
  <c r="AG59" i="2"/>
  <c r="AE59" i="2"/>
  <c r="AC59" i="2"/>
  <c r="AB59" i="2"/>
  <c r="AA59" i="2"/>
  <c r="Y59" i="2"/>
  <c r="X59" i="2"/>
  <c r="W59" i="2"/>
  <c r="V59" i="2"/>
  <c r="U59" i="2"/>
  <c r="T59" i="2"/>
  <c r="S59" i="2"/>
  <c r="R59" i="2"/>
  <c r="Q59" i="2"/>
  <c r="P59" i="2"/>
  <c r="O59" i="2"/>
  <c r="N59" i="2"/>
  <c r="M59" i="2"/>
  <c r="L59" i="2"/>
  <c r="K59" i="2"/>
  <c r="J59" i="2"/>
  <c r="I59" i="2"/>
  <c r="H59" i="2"/>
  <c r="G59" i="2"/>
  <c r="F59" i="2"/>
  <c r="E59" i="2"/>
  <c r="D59" i="2"/>
  <c r="C59" i="2"/>
  <c r="B59" i="2"/>
  <c r="A59" i="2"/>
  <c r="AG58" i="2"/>
  <c r="AF58" i="2"/>
  <c r="AE58" i="2"/>
  <c r="AC58" i="2"/>
  <c r="AB58" i="2"/>
  <c r="AA58" i="2"/>
  <c r="Z58" i="2"/>
  <c r="Y58" i="2"/>
  <c r="X58" i="2"/>
  <c r="W58" i="2"/>
  <c r="V58" i="2"/>
  <c r="U58" i="2"/>
  <c r="T58" i="2"/>
  <c r="S58" i="2"/>
  <c r="R58" i="2"/>
  <c r="Q58" i="2"/>
  <c r="P58" i="2"/>
  <c r="O58" i="2"/>
  <c r="N58" i="2"/>
  <c r="M58" i="2"/>
  <c r="L58" i="2"/>
  <c r="K58" i="2"/>
  <c r="J58" i="2"/>
  <c r="I58" i="2"/>
  <c r="H58" i="2"/>
  <c r="G58" i="2"/>
  <c r="F58" i="2"/>
  <c r="E58" i="2"/>
  <c r="D58" i="2"/>
  <c r="C58" i="2"/>
  <c r="B58" i="2"/>
  <c r="A58" i="2"/>
  <c r="X57" i="2"/>
  <c r="V57" i="2"/>
  <c r="T57" i="2"/>
  <c r="S57" i="2"/>
  <c r="R57" i="2"/>
  <c r="P57" i="2"/>
  <c r="O57" i="2"/>
  <c r="N57" i="2"/>
  <c r="L57" i="2"/>
  <c r="J57" i="2"/>
  <c r="H57" i="2"/>
  <c r="F57" i="2"/>
  <c r="E57" i="2"/>
  <c r="D57" i="2"/>
  <c r="B57" i="2"/>
  <c r="A57" i="2"/>
  <c r="AH56" i="2"/>
  <c r="AG56" i="2"/>
  <c r="AF56" i="2"/>
  <c r="AE56" i="2"/>
  <c r="AC56" i="2"/>
  <c r="AA56" i="2"/>
  <c r="Z56" i="2"/>
  <c r="Y56" i="2"/>
  <c r="X56" i="2"/>
  <c r="W56" i="2"/>
  <c r="V56" i="2"/>
  <c r="U56" i="2"/>
  <c r="T56" i="2"/>
  <c r="S56" i="2"/>
  <c r="R56" i="2"/>
  <c r="Q56" i="2"/>
  <c r="P56" i="2"/>
  <c r="O56" i="2"/>
  <c r="N56" i="2"/>
  <c r="M56" i="2"/>
  <c r="L56" i="2"/>
  <c r="K56" i="2"/>
  <c r="J56" i="2"/>
  <c r="I56" i="2"/>
  <c r="H56" i="2"/>
  <c r="G56" i="2"/>
  <c r="F56" i="2"/>
  <c r="E56" i="2"/>
  <c r="D56" i="2"/>
  <c r="C56" i="2"/>
  <c r="B56" i="2"/>
  <c r="A56" i="2"/>
  <c r="X55" i="2"/>
  <c r="W55" i="2"/>
  <c r="T55" i="2"/>
  <c r="S55" i="2"/>
  <c r="Q55" i="2"/>
  <c r="M55" i="2"/>
  <c r="K55" i="2"/>
  <c r="J55" i="2"/>
  <c r="I55" i="2"/>
  <c r="F55" i="2"/>
  <c r="D55" i="2"/>
  <c r="A55" i="2"/>
  <c r="AF54" i="2"/>
  <c r="Y54" i="2"/>
  <c r="X54" i="2"/>
  <c r="W54" i="2"/>
  <c r="T54" i="2"/>
  <c r="S54" i="2"/>
  <c r="R54" i="2"/>
  <c r="Q54" i="2"/>
  <c r="K54" i="2"/>
  <c r="J54" i="2"/>
  <c r="I54" i="2"/>
  <c r="H54" i="2"/>
  <c r="F54" i="2"/>
  <c r="E54" i="2"/>
  <c r="D54" i="2"/>
  <c r="C54" i="2"/>
  <c r="A54" i="2"/>
  <c r="AI53" i="2"/>
  <c r="AH53" i="2"/>
  <c r="AG53" i="2"/>
  <c r="AF53" i="2"/>
  <c r="AE53" i="2"/>
  <c r="AB53" i="2"/>
  <c r="AA53" i="2"/>
  <c r="Y53" i="2"/>
  <c r="X53" i="2"/>
  <c r="W53" i="2"/>
  <c r="V53" i="2"/>
  <c r="U53" i="2"/>
  <c r="T53" i="2"/>
  <c r="S53" i="2"/>
  <c r="R53" i="2"/>
  <c r="Q53" i="2"/>
  <c r="P53" i="2"/>
  <c r="O53" i="2"/>
  <c r="N53" i="2"/>
  <c r="L53" i="2"/>
  <c r="K53" i="2"/>
  <c r="J53" i="2"/>
  <c r="I53" i="2"/>
  <c r="H53" i="2"/>
  <c r="G53" i="2"/>
  <c r="F53" i="2"/>
  <c r="E53" i="2"/>
  <c r="D53" i="2"/>
  <c r="C53" i="2"/>
  <c r="B53" i="2"/>
  <c r="A53" i="2"/>
  <c r="Y52" i="2"/>
  <c r="X52" i="2"/>
  <c r="V52" i="2"/>
  <c r="U52" i="2"/>
  <c r="S52" i="2"/>
  <c r="Q52" i="2"/>
  <c r="N52" i="2"/>
  <c r="L52" i="2"/>
  <c r="H52" i="2"/>
  <c r="G52" i="2"/>
  <c r="E52" i="2"/>
  <c r="D52" i="2"/>
  <c r="A52" i="2"/>
  <c r="Y51" i="2"/>
  <c r="X51" i="2"/>
  <c r="W51" i="2"/>
  <c r="T51" i="2"/>
  <c r="S51" i="2"/>
  <c r="R51" i="2"/>
  <c r="Q51" i="2"/>
  <c r="P51" i="2"/>
  <c r="O51" i="2"/>
  <c r="N51" i="2"/>
  <c r="M51" i="2"/>
  <c r="K51" i="2"/>
  <c r="J51" i="2"/>
  <c r="I51" i="2"/>
  <c r="F51" i="2"/>
  <c r="E51" i="2"/>
  <c r="D51" i="2"/>
  <c r="C51" i="2"/>
  <c r="B51" i="2"/>
  <c r="A51" i="2"/>
  <c r="AF46" i="2"/>
  <c r="AE46" i="2"/>
  <c r="AA46" i="2"/>
  <c r="Y46" i="2"/>
  <c r="X46" i="2"/>
  <c r="V46" i="2"/>
  <c r="U46" i="2"/>
  <c r="T46" i="2"/>
  <c r="S46" i="2"/>
  <c r="R46" i="2"/>
  <c r="Q46" i="2"/>
  <c r="P46" i="2"/>
  <c r="O46" i="2"/>
  <c r="K46" i="2"/>
  <c r="J46" i="2"/>
  <c r="H46" i="2"/>
  <c r="G46" i="2"/>
  <c r="E46" i="2"/>
  <c r="D46" i="2"/>
  <c r="C46" i="2"/>
  <c r="B46" i="2"/>
  <c r="A46" i="2"/>
  <c r="AB45" i="2"/>
  <c r="Z45" i="2"/>
  <c r="X45" i="2"/>
  <c r="W45" i="2"/>
  <c r="V45" i="2"/>
  <c r="U45" i="2"/>
  <c r="T45" i="2"/>
  <c r="R45" i="2"/>
  <c r="Q45" i="2"/>
  <c r="P45" i="2"/>
  <c r="O45" i="2"/>
  <c r="N45" i="2"/>
  <c r="K45" i="2"/>
  <c r="J45" i="2"/>
  <c r="I45" i="2"/>
  <c r="H45" i="2"/>
  <c r="G45" i="2"/>
  <c r="F45" i="2"/>
  <c r="D45" i="2"/>
  <c r="C45" i="2"/>
  <c r="B45" i="2"/>
  <c r="A45" i="2"/>
  <c r="AG44" i="2"/>
  <c r="R44" i="2"/>
  <c r="Q44" i="2"/>
  <c r="D44" i="2"/>
  <c r="C44" i="2"/>
  <c r="A44" i="2"/>
  <c r="X43" i="2"/>
  <c r="U43" i="2"/>
  <c r="P43" i="2"/>
  <c r="O43" i="2"/>
  <c r="M43" i="2"/>
  <c r="K43" i="2"/>
  <c r="H43" i="2"/>
  <c r="E43" i="2"/>
  <c r="A43" i="2"/>
  <c r="AG42" i="2"/>
  <c r="Y42" i="2"/>
  <c r="X42" i="2"/>
  <c r="W42" i="2"/>
  <c r="V42" i="2"/>
  <c r="U42" i="2"/>
  <c r="T42" i="2"/>
  <c r="S42" i="2"/>
  <c r="R42" i="2"/>
  <c r="M42" i="2"/>
  <c r="L42" i="2"/>
  <c r="K42" i="2"/>
  <c r="J42" i="2"/>
  <c r="I42" i="2"/>
  <c r="H42" i="2"/>
  <c r="G42" i="2"/>
  <c r="F42" i="2"/>
  <c r="E42" i="2"/>
  <c r="D42" i="2"/>
  <c r="C42" i="2"/>
  <c r="A42" i="2"/>
  <c r="W41" i="2"/>
  <c r="V41" i="2"/>
  <c r="U41" i="2"/>
  <c r="T41" i="2"/>
  <c r="R41" i="2"/>
  <c r="P41" i="2"/>
  <c r="O41" i="2"/>
  <c r="N41" i="2"/>
  <c r="M41" i="2"/>
  <c r="L41" i="2"/>
  <c r="I41" i="2"/>
  <c r="H41" i="2"/>
  <c r="G41" i="2"/>
  <c r="F41" i="2"/>
  <c r="A41" i="2"/>
  <c r="Y40" i="2"/>
  <c r="X40" i="2"/>
  <c r="W40" i="2"/>
  <c r="V40" i="2"/>
  <c r="S40" i="2"/>
  <c r="R40" i="2"/>
  <c r="Q40" i="2"/>
  <c r="P40" i="2"/>
  <c r="O40" i="2"/>
  <c r="N40" i="2"/>
  <c r="M40" i="2"/>
  <c r="L40" i="2"/>
  <c r="K40" i="2"/>
  <c r="J40" i="2"/>
  <c r="I40" i="2"/>
  <c r="H40" i="2"/>
  <c r="G40" i="2"/>
  <c r="E40" i="2"/>
  <c r="C40" i="2"/>
  <c r="B40" i="2"/>
  <c r="A40" i="2"/>
  <c r="AH39" i="2"/>
  <c r="AE39" i="2"/>
  <c r="AC39" i="2"/>
  <c r="AA39" i="2"/>
  <c r="Y39" i="2"/>
  <c r="X39" i="2"/>
  <c r="W39" i="2"/>
  <c r="V39" i="2"/>
  <c r="U39" i="2"/>
  <c r="T39" i="2"/>
  <c r="S39" i="2"/>
  <c r="R39" i="2"/>
  <c r="Q39" i="2"/>
  <c r="P39" i="2"/>
  <c r="O39" i="2"/>
  <c r="N39" i="2"/>
  <c r="M39" i="2"/>
  <c r="L39" i="2"/>
  <c r="K39" i="2"/>
  <c r="J39" i="2"/>
  <c r="I39" i="2"/>
  <c r="H39" i="2"/>
  <c r="G39" i="2"/>
  <c r="F39" i="2"/>
  <c r="E39" i="2"/>
  <c r="D39" i="2"/>
  <c r="C39" i="2"/>
  <c r="B39" i="2"/>
  <c r="A39" i="2"/>
  <c r="X38" i="2"/>
  <c r="U38" i="2"/>
  <c r="S38" i="2"/>
  <c r="N38" i="2"/>
  <c r="L38" i="2"/>
  <c r="J38" i="2"/>
  <c r="G38" i="2"/>
  <c r="A38" i="2"/>
  <c r="AG37" i="2"/>
  <c r="AF37" i="2"/>
  <c r="AE37" i="2"/>
  <c r="AB37" i="2"/>
  <c r="AA37" i="2"/>
  <c r="Z37" i="2"/>
  <c r="Y37" i="2"/>
  <c r="X37" i="2"/>
  <c r="W37" i="2"/>
  <c r="V37" i="2"/>
  <c r="U37" i="2"/>
  <c r="T37" i="2"/>
  <c r="S37" i="2"/>
  <c r="R37" i="2"/>
  <c r="Q37" i="2"/>
  <c r="P37" i="2"/>
  <c r="O37" i="2"/>
  <c r="N37" i="2"/>
  <c r="M37" i="2"/>
  <c r="L37" i="2"/>
  <c r="K37" i="2"/>
  <c r="J37" i="2"/>
  <c r="I37" i="2"/>
  <c r="H37" i="2"/>
  <c r="G37" i="2"/>
  <c r="F37" i="2"/>
  <c r="E37" i="2"/>
  <c r="D37" i="2"/>
  <c r="C37" i="2"/>
  <c r="B37" i="2"/>
  <c r="A37" i="2"/>
  <c r="A6" i="2"/>
  <c r="W3" i="3" l="1"/>
  <c r="T7" i="2" s="1"/>
  <c r="E21" i="2"/>
  <c r="Y6" i="3"/>
  <c r="V10" i="2" s="1"/>
  <c r="G9" i="3"/>
  <c r="D15" i="2" s="1"/>
  <c r="Q6" i="3"/>
  <c r="N10" i="2" s="1"/>
  <c r="U6" i="3"/>
  <c r="R10" i="2" s="1"/>
  <c r="H5" i="3"/>
  <c r="E9" i="2" s="1"/>
  <c r="I5" i="3"/>
  <c r="F9" i="2" s="1"/>
  <c r="E19" i="2"/>
  <c r="R7" i="3"/>
  <c r="O12" i="2" s="1"/>
  <c r="K7" i="3"/>
  <c r="H12" i="2" s="1"/>
  <c r="J7" i="3"/>
  <c r="G12" i="2" s="1"/>
  <c r="I7" i="3"/>
  <c r="F12" i="2" s="1"/>
  <c r="F7" i="3"/>
  <c r="C12" i="2" s="1"/>
  <c r="E7" i="3"/>
  <c r="B12" i="2" s="1"/>
  <c r="H7" i="3"/>
  <c r="E12" i="2" s="1"/>
  <c r="AE19" i="3"/>
  <c r="AB23" i="2" s="1"/>
  <c r="I23" i="2"/>
  <c r="G7" i="3"/>
  <c r="D12" i="2" s="1"/>
  <c r="I6" i="3"/>
  <c r="F10" i="2" s="1"/>
  <c r="J6" i="3"/>
  <c r="G10" i="2" s="1"/>
  <c r="K6" i="3"/>
  <c r="H10" i="2" s="1"/>
  <c r="Q10" i="3"/>
  <c r="N16" i="2" s="1"/>
  <c r="O6" i="3"/>
  <c r="L10" i="2" s="1"/>
  <c r="L4" i="3"/>
  <c r="I8" i="2" s="1"/>
  <c r="J4" i="3"/>
  <c r="G8" i="2" s="1"/>
  <c r="U4" i="3"/>
  <c r="R8" i="2" s="1"/>
  <c r="K4" i="3"/>
  <c r="H8" i="2" s="1"/>
  <c r="Q4" i="3"/>
  <c r="N8" i="2" s="1"/>
  <c r="I4" i="3"/>
  <c r="F8" i="2" s="1"/>
  <c r="Z4" i="3"/>
  <c r="W8" i="2" s="1"/>
  <c r="U3" i="3"/>
  <c r="R7" i="2" s="1"/>
  <c r="V3" i="3"/>
  <c r="S7" i="2" s="1"/>
  <c r="AL8" i="6"/>
  <c r="AI69" i="2" s="1"/>
  <c r="AE69" i="2"/>
  <c r="W67" i="2"/>
  <c r="AE9" i="6"/>
  <c r="AB70" i="2" s="1"/>
  <c r="T70" i="2"/>
  <c r="AD7" i="6"/>
  <c r="AA68" i="2" s="1"/>
  <c r="R10" i="6"/>
  <c r="O71" i="2" s="1"/>
  <c r="Q68" i="2"/>
  <c r="AC9" i="6"/>
  <c r="Z70" i="2" s="1"/>
  <c r="AF8" i="6"/>
  <c r="AD9" i="6"/>
  <c r="AA70" i="2" s="1"/>
  <c r="L68" i="2"/>
  <c r="Q70" i="2"/>
  <c r="N68" i="2"/>
  <c r="N65" i="2"/>
  <c r="O69" i="2"/>
  <c r="W70" i="2"/>
  <c r="AB10" i="6"/>
  <c r="Y71" i="2" s="1"/>
  <c r="AE7" i="6"/>
  <c r="AB68" i="2" s="1"/>
  <c r="AK7" i="6"/>
  <c r="AH68" i="2" s="1"/>
  <c r="AL9" i="6"/>
  <c r="AI70" i="2" s="1"/>
  <c r="AC5" i="6"/>
  <c r="Z66" i="2" s="1"/>
  <c r="AJ6" i="6"/>
  <c r="AG67" i="2" s="1"/>
  <c r="F68" i="2"/>
  <c r="T68" i="2"/>
  <c r="B69" i="2"/>
  <c r="I70" i="2"/>
  <c r="N67" i="2"/>
  <c r="Q69" i="2"/>
  <c r="P10" i="6"/>
  <c r="AI5" i="6"/>
  <c r="AF66" i="2" s="1"/>
  <c r="W44" i="2"/>
  <c r="AF11" i="4"/>
  <c r="AC44" i="2" s="1"/>
  <c r="AI11" i="4"/>
  <c r="AF44" i="2" s="1"/>
  <c r="AD11" i="4"/>
  <c r="AA44" i="2" s="1"/>
  <c r="F44" i="2"/>
  <c r="T44" i="2"/>
  <c r="H44" i="2"/>
  <c r="L44" i="2"/>
  <c r="AD9" i="4"/>
  <c r="AA42" i="2" s="1"/>
  <c r="R14" i="4"/>
  <c r="O5" i="1" s="1"/>
  <c r="Z42" i="2"/>
  <c r="P42" i="2"/>
  <c r="B42" i="2"/>
  <c r="Q42" i="2"/>
  <c r="AH8" i="4"/>
  <c r="AE41" i="2" s="1"/>
  <c r="AE7" i="4"/>
  <c r="AB40" i="2" s="1"/>
  <c r="AF7" i="4"/>
  <c r="AC40" i="2" s="1"/>
  <c r="AC7" i="4"/>
  <c r="Z40" i="2" s="1"/>
  <c r="AI7" i="4"/>
  <c r="AF40" i="2" s="1"/>
  <c r="B38" i="2"/>
  <c r="T38" i="2"/>
  <c r="AI5" i="4"/>
  <c r="AF38" i="2" s="1"/>
  <c r="Q38" i="2"/>
  <c r="AE5" i="4"/>
  <c r="AB38" i="2" s="1"/>
  <c r="AK5" i="4"/>
  <c r="AH38" i="2" s="1"/>
  <c r="I38" i="2"/>
  <c r="W38" i="2"/>
  <c r="AF5" i="4"/>
  <c r="AC38" i="2" s="1"/>
  <c r="E10" i="3"/>
  <c r="B16" i="2" s="1"/>
  <c r="F10" i="3"/>
  <c r="C16" i="2" s="1"/>
  <c r="I10" i="3"/>
  <c r="F16" i="2" s="1"/>
  <c r="J10" i="3"/>
  <c r="G16" i="2" s="1"/>
  <c r="G10" i="3"/>
  <c r="D16" i="2" s="1"/>
  <c r="H10" i="3"/>
  <c r="E16" i="2" s="1"/>
  <c r="O10" i="3"/>
  <c r="L16" i="2" s="1"/>
  <c r="AK8" i="5"/>
  <c r="AH55" i="2" s="1"/>
  <c r="AI5" i="5"/>
  <c r="AF52" i="2" s="1"/>
  <c r="F52" i="2"/>
  <c r="W52" i="2"/>
  <c r="AE5" i="5"/>
  <c r="AB52" i="2" s="1"/>
  <c r="AF5" i="5"/>
  <c r="AC52" i="2" s="1"/>
  <c r="AC5" i="5"/>
  <c r="Z52" i="2" s="1"/>
  <c r="AJ8" i="5"/>
  <c r="AG55" i="2" s="1"/>
  <c r="V14" i="5"/>
  <c r="S61" i="2" s="1"/>
  <c r="AD8" i="5"/>
  <c r="AA55" i="2" s="1"/>
  <c r="AE8" i="5"/>
  <c r="AB55" i="2" s="1"/>
  <c r="J14" i="5"/>
  <c r="G6" i="1" s="1"/>
  <c r="AH7" i="5"/>
  <c r="L54" i="2"/>
  <c r="N54" i="2"/>
  <c r="AD7" i="5"/>
  <c r="AA54" i="2" s="1"/>
  <c r="AJ7" i="5"/>
  <c r="AG54" i="2" s="1"/>
  <c r="E2" i="3"/>
  <c r="B6" i="2" s="1"/>
  <c r="R13" i="3"/>
  <c r="O11" i="2" s="1"/>
  <c r="J5" i="3"/>
  <c r="G9" i="2" s="1"/>
  <c r="S13" i="3"/>
  <c r="P11" i="2" s="1"/>
  <c r="J2" i="3"/>
  <c r="G6" i="2" s="1"/>
  <c r="M4" i="3"/>
  <c r="J8" i="2" s="1"/>
  <c r="L5" i="3"/>
  <c r="I9" i="2" s="1"/>
  <c r="L6" i="3"/>
  <c r="I10" i="2" s="1"/>
  <c r="N4" i="3"/>
  <c r="K8" i="2" s="1"/>
  <c r="AE15" i="3"/>
  <c r="AB19" i="2" s="1"/>
  <c r="M5" i="3"/>
  <c r="J9" i="2" s="1"/>
  <c r="M6" i="3"/>
  <c r="J10" i="2" s="1"/>
  <c r="H13" i="3"/>
  <c r="E11" i="2" s="1"/>
  <c r="O4" i="3"/>
  <c r="L8" i="2" s="1"/>
  <c r="N5" i="3"/>
  <c r="K9" i="2" s="1"/>
  <c r="N6" i="3"/>
  <c r="I13" i="3"/>
  <c r="F11" i="2" s="1"/>
  <c r="T12" i="3"/>
  <c r="Q14" i="2" s="1"/>
  <c r="E3" i="3"/>
  <c r="B7" i="2" s="1"/>
  <c r="P4" i="3"/>
  <c r="M8" i="2" s="1"/>
  <c r="AF16" i="3"/>
  <c r="AC20" i="2" s="1"/>
  <c r="O5" i="3"/>
  <c r="L9" i="2" s="1"/>
  <c r="J13" i="3"/>
  <c r="G11" i="2" s="1"/>
  <c r="AH20" i="3"/>
  <c r="AE24" i="2" s="1"/>
  <c r="R6" i="3"/>
  <c r="O10" i="2" s="1"/>
  <c r="M13" i="3"/>
  <c r="J11" i="2" s="1"/>
  <c r="AI20" i="3"/>
  <c r="AF24" i="2" s="1"/>
  <c r="AA4" i="3"/>
  <c r="X8" i="2" s="1"/>
  <c r="N13" i="3"/>
  <c r="K11" i="2" s="1"/>
  <c r="V6" i="3"/>
  <c r="S10" i="2" s="1"/>
  <c r="O13" i="3"/>
  <c r="L11" i="2" s="1"/>
  <c r="G4" i="3"/>
  <c r="D8" i="2" s="1"/>
  <c r="H4" i="3"/>
  <c r="E8" i="2" s="1"/>
  <c r="G5" i="3"/>
  <c r="D9" i="2" s="1"/>
  <c r="G6" i="3"/>
  <c r="D10" i="2" s="1"/>
  <c r="W6" i="3"/>
  <c r="T10" i="2" s="1"/>
  <c r="P13" i="3"/>
  <c r="M11" i="2" s="1"/>
  <c r="AK23" i="3"/>
  <c r="AH27" i="2" s="1"/>
  <c r="AE16" i="3"/>
  <c r="AB20" i="2" s="1"/>
  <c r="AD23" i="3"/>
  <c r="AA27" i="2" s="1"/>
  <c r="AF18" i="3"/>
  <c r="AC22" i="2" s="1"/>
  <c r="AF15" i="3"/>
  <c r="AC19" i="2" s="1"/>
  <c r="AC20" i="3"/>
  <c r="Z24" i="2" s="1"/>
  <c r="AC15" i="3"/>
  <c r="Z19" i="2" s="1"/>
  <c r="AC14" i="3"/>
  <c r="Z18" i="2" s="1"/>
  <c r="AF17" i="3"/>
  <c r="AC21" i="2" s="1"/>
  <c r="AH19" i="3"/>
  <c r="AE23" i="2" s="1"/>
  <c r="AC9" i="3"/>
  <c r="Z15" i="2" s="1"/>
  <c r="AD28" i="3"/>
  <c r="AA32" i="2" s="1"/>
  <c r="L7" i="3"/>
  <c r="I12" i="2" s="1"/>
  <c r="S14" i="3"/>
  <c r="P18" i="2" s="1"/>
  <c r="AF21" i="3"/>
  <c r="AC25" i="2" s="1"/>
  <c r="M7" i="3"/>
  <c r="J12" i="2" s="1"/>
  <c r="U13" i="3"/>
  <c r="R11" i="2" s="1"/>
  <c r="Y3" i="3"/>
  <c r="V7" i="2" s="1"/>
  <c r="V4" i="3"/>
  <c r="S8" i="2" s="1"/>
  <c r="O7" i="3"/>
  <c r="L12" i="2" s="1"/>
  <c r="M11" i="3"/>
  <c r="J17" i="2" s="1"/>
  <c r="U14" i="3"/>
  <c r="R18" i="2" s="1"/>
  <c r="V13" i="3"/>
  <c r="S11" i="2" s="1"/>
  <c r="I22" i="3"/>
  <c r="F26" i="2" s="1"/>
  <c r="L25" i="3"/>
  <c r="I29" i="2" s="1"/>
  <c r="AA25" i="3"/>
  <c r="X29" i="2" s="1"/>
  <c r="W4" i="3"/>
  <c r="T8" i="2" s="1"/>
  <c r="V14" i="3"/>
  <c r="S18" i="2" s="1"/>
  <c r="W13" i="3"/>
  <c r="T11" i="2" s="1"/>
  <c r="AE20" i="3"/>
  <c r="AB24" i="2" s="1"/>
  <c r="Q22" i="3"/>
  <c r="N26" i="2" s="1"/>
  <c r="P7" i="3"/>
  <c r="M12" i="2" s="1"/>
  <c r="X4" i="3"/>
  <c r="U8" i="2" s="1"/>
  <c r="T7" i="3"/>
  <c r="Q12" i="2" s="1"/>
  <c r="AD14" i="3"/>
  <c r="AA18" i="2" s="1"/>
  <c r="W14" i="3"/>
  <c r="T18" i="2" s="1"/>
  <c r="X13" i="3"/>
  <c r="U11" i="2" s="1"/>
  <c r="AC18" i="3"/>
  <c r="Z22" i="2" s="1"/>
  <c r="AH18" i="3"/>
  <c r="AE22" i="2" s="1"/>
  <c r="S22" i="3"/>
  <c r="P26" i="2" s="1"/>
  <c r="AE23" i="3"/>
  <c r="AB27" i="2" s="1"/>
  <c r="Y4" i="3"/>
  <c r="V8" i="2" s="1"/>
  <c r="U7" i="3"/>
  <c r="R12" i="2" s="1"/>
  <c r="X14" i="3"/>
  <c r="U18" i="2" s="1"/>
  <c r="Y13" i="3"/>
  <c r="V11" i="2" s="1"/>
  <c r="AD19" i="3"/>
  <c r="AA23" i="2" s="1"/>
  <c r="AF20" i="3"/>
  <c r="AC24" i="2" s="1"/>
  <c r="T22" i="3"/>
  <c r="Q26" i="2" s="1"/>
  <c r="AF23" i="3"/>
  <c r="AC27" i="2" s="1"/>
  <c r="O25" i="3"/>
  <c r="L29" i="2" s="1"/>
  <c r="V7" i="3"/>
  <c r="S12" i="2" s="1"/>
  <c r="W7" i="3"/>
  <c r="T12" i="2" s="1"/>
  <c r="Z14" i="3"/>
  <c r="W18" i="2" s="1"/>
  <c r="AA13" i="3"/>
  <c r="X11" i="2" s="1"/>
  <c r="AI21" i="3"/>
  <c r="AF25" i="2" s="1"/>
  <c r="X22" i="3"/>
  <c r="U26" i="2" s="1"/>
  <c r="AB4" i="3"/>
  <c r="Y8" i="2" s="1"/>
  <c r="AC7" i="3"/>
  <c r="Z12" i="2" s="1"/>
  <c r="X7" i="3"/>
  <c r="U12" i="2" s="1"/>
  <c r="V11" i="3"/>
  <c r="S17" i="2" s="1"/>
  <c r="AA14" i="3"/>
  <c r="X18" i="2" s="1"/>
  <c r="X6" i="3"/>
  <c r="U10" i="2" s="1"/>
  <c r="AB13" i="3"/>
  <c r="Y11" i="2" s="1"/>
  <c r="W18" i="3"/>
  <c r="T22" i="2" s="1"/>
  <c r="Y22" i="3"/>
  <c r="V26" i="2" s="1"/>
  <c r="S25" i="3"/>
  <c r="P29" i="2" s="1"/>
  <c r="Y7" i="3"/>
  <c r="V12" i="2" s="1"/>
  <c r="AB14" i="3"/>
  <c r="Y18" i="2" s="1"/>
  <c r="F3" i="3"/>
  <c r="C7" i="2" s="1"/>
  <c r="AD7" i="3"/>
  <c r="AA12" i="2" s="1"/>
  <c r="Z7" i="3"/>
  <c r="W12" i="2" s="1"/>
  <c r="X11" i="3"/>
  <c r="U17" i="2" s="1"/>
  <c r="N14" i="3"/>
  <c r="K18" i="2" s="1"/>
  <c r="Y18" i="3"/>
  <c r="V22" i="2" s="1"/>
  <c r="U23" i="3"/>
  <c r="R27" i="2" s="1"/>
  <c r="U25" i="3"/>
  <c r="R29" i="2" s="1"/>
  <c r="M14" i="3"/>
  <c r="J18" i="2" s="1"/>
  <c r="X18" i="3"/>
  <c r="U22" i="2" s="1"/>
  <c r="H3" i="3"/>
  <c r="E7" i="2" s="1"/>
  <c r="T8" i="3"/>
  <c r="Q13" i="2" s="1"/>
  <c r="AA7" i="3"/>
  <c r="X12" i="2" s="1"/>
  <c r="AC11" i="3"/>
  <c r="Z17" i="2" s="1"/>
  <c r="Y11" i="3"/>
  <c r="V17" i="2" s="1"/>
  <c r="O14" i="3"/>
  <c r="L18" i="2" s="1"/>
  <c r="Z18" i="3"/>
  <c r="W22" i="2" s="1"/>
  <c r="E23" i="3"/>
  <c r="B27" i="2" s="1"/>
  <c r="V23" i="3"/>
  <c r="S27" i="2" s="1"/>
  <c r="G25" i="3"/>
  <c r="D29" i="2" s="1"/>
  <c r="V25" i="3"/>
  <c r="S29" i="2" s="1"/>
  <c r="AD11" i="3"/>
  <c r="AA17" i="2" s="1"/>
  <c r="P14" i="3"/>
  <c r="M18" i="2" s="1"/>
  <c r="AC17" i="3"/>
  <c r="Z21" i="2" s="1"/>
  <c r="Z21" i="3"/>
  <c r="W25" i="2" s="1"/>
  <c r="G23" i="3"/>
  <c r="D27" i="2" s="1"/>
  <c r="W23" i="3"/>
  <c r="T27" i="2" s="1"/>
  <c r="H25" i="3"/>
  <c r="E29" i="2" s="1"/>
  <c r="W25" i="3"/>
  <c r="T29" i="2" s="1"/>
  <c r="AA12" i="3"/>
  <c r="X14" i="2" s="1"/>
  <c r="J12" i="3"/>
  <c r="G14" i="2" s="1"/>
  <c r="K12" i="3"/>
  <c r="H14" i="2" s="1"/>
  <c r="AB12" i="3"/>
  <c r="Y14" i="2" s="1"/>
  <c r="L12" i="3"/>
  <c r="I14" i="2" s="1"/>
  <c r="M12" i="3"/>
  <c r="J14" i="2" s="1"/>
  <c r="N12" i="3"/>
  <c r="K14" i="2" s="1"/>
  <c r="O12" i="3"/>
  <c r="L14" i="2" s="1"/>
  <c r="S12" i="3"/>
  <c r="P14" i="2" s="1"/>
  <c r="U12" i="3"/>
  <c r="R14" i="2" s="1"/>
  <c r="V12" i="3"/>
  <c r="S14" i="2" s="1"/>
  <c r="W12" i="3"/>
  <c r="T14" i="2" s="1"/>
  <c r="G12" i="3"/>
  <c r="D14" i="2" s="1"/>
  <c r="X12" i="3"/>
  <c r="U14" i="2" s="1"/>
  <c r="H12" i="3"/>
  <c r="E14" i="2" s="1"/>
  <c r="Y12" i="3"/>
  <c r="V14" i="2" s="1"/>
  <c r="I12" i="3"/>
  <c r="F14" i="2" s="1"/>
  <c r="Z12" i="3"/>
  <c r="W14" i="2" s="1"/>
  <c r="AF28" i="3"/>
  <c r="AC32" i="2" s="1"/>
  <c r="E32" i="2"/>
  <c r="AH28" i="3"/>
  <c r="AE32" i="2" s="1"/>
  <c r="AI28" i="3"/>
  <c r="AF32" i="2" s="1"/>
  <c r="AE6" i="6"/>
  <c r="E10" i="6"/>
  <c r="B7" i="1" s="1"/>
  <c r="AF6" i="6"/>
  <c r="AC67" i="2" s="1"/>
  <c r="O7" i="1"/>
  <c r="B67" i="2"/>
  <c r="G10" i="6"/>
  <c r="D71" i="2" s="1"/>
  <c r="U10" i="6"/>
  <c r="R71" i="2" s="1"/>
  <c r="Y7" i="1"/>
  <c r="I10" i="6"/>
  <c r="F71" i="2" s="1"/>
  <c r="W10" i="6"/>
  <c r="T71" i="2" s="1"/>
  <c r="E67" i="2"/>
  <c r="J10" i="6"/>
  <c r="G71" i="2" s="1"/>
  <c r="H67" i="2"/>
  <c r="AD5" i="6"/>
  <c r="AA66" i="2" s="1"/>
  <c r="AJ5" i="6"/>
  <c r="AG66" i="2" s="1"/>
  <c r="F10" i="6"/>
  <c r="N71" i="2"/>
  <c r="V10" i="6"/>
  <c r="AE5" i="6"/>
  <c r="AB66" i="2" s="1"/>
  <c r="AK5" i="6"/>
  <c r="AH66" i="2" s="1"/>
  <c r="X10" i="6"/>
  <c r="Y10" i="6"/>
  <c r="AF5" i="6"/>
  <c r="AC66" i="2" s="1"/>
  <c r="Q66" i="2"/>
  <c r="AH5" i="6"/>
  <c r="AE66" i="2" s="1"/>
  <c r="F66" i="2"/>
  <c r="T66" i="2"/>
  <c r="M65" i="2"/>
  <c r="C65" i="2"/>
  <c r="F65" i="2"/>
  <c r="D65" i="2"/>
  <c r="S65" i="2"/>
  <c r="T65" i="2"/>
  <c r="AF4" i="6"/>
  <c r="AC65" i="2" s="1"/>
  <c r="R65" i="2"/>
  <c r="G65" i="2"/>
  <c r="U65" i="2"/>
  <c r="AJ4" i="6"/>
  <c r="AG65" i="2" s="1"/>
  <c r="H65" i="2"/>
  <c r="V65" i="2"/>
  <c r="G14" i="5"/>
  <c r="D6" i="1" s="1"/>
  <c r="U14" i="5"/>
  <c r="R61" i="2" s="1"/>
  <c r="AC13" i="5"/>
  <c r="Z60" i="2" s="1"/>
  <c r="AB14" i="5"/>
  <c r="B60" i="2"/>
  <c r="AF13" i="5"/>
  <c r="AC60" i="2" s="1"/>
  <c r="AH13" i="5"/>
  <c r="AE60" i="2" s="1"/>
  <c r="AI13" i="5"/>
  <c r="AF60" i="2" s="1"/>
  <c r="AE13" i="5"/>
  <c r="AB60" i="2" s="1"/>
  <c r="AK13" i="5"/>
  <c r="AH60" i="2" s="1"/>
  <c r="AI10" i="5"/>
  <c r="AF57" i="2" s="1"/>
  <c r="AD10" i="5"/>
  <c r="AA57" i="2" s="1"/>
  <c r="Q57" i="2"/>
  <c r="X14" i="5"/>
  <c r="AE10" i="5"/>
  <c r="AB57" i="2" s="1"/>
  <c r="W57" i="2"/>
  <c r="AH10" i="5"/>
  <c r="Y14" i="5"/>
  <c r="F14" i="5"/>
  <c r="AJ5" i="5"/>
  <c r="AG52" i="2" s="1"/>
  <c r="G51" i="2"/>
  <c r="U51" i="2"/>
  <c r="V51" i="2"/>
  <c r="AG51" i="2"/>
  <c r="AI4" i="5"/>
  <c r="AF51" i="2" s="1"/>
  <c r="AE10" i="4"/>
  <c r="AB43" i="2" s="1"/>
  <c r="AD8" i="4"/>
  <c r="AA41" i="2" s="1"/>
  <c r="N14" i="4"/>
  <c r="K5" i="1" s="1"/>
  <c r="AE8" i="4"/>
  <c r="AB41" i="2" s="1"/>
  <c r="AK8" i="4"/>
  <c r="AH41" i="2" s="1"/>
  <c r="AF8" i="4"/>
  <c r="AC41" i="2" s="1"/>
  <c r="Q41" i="2"/>
  <c r="G14" i="4"/>
  <c r="D47" i="2" s="1"/>
  <c r="U14" i="4"/>
  <c r="R5" i="1" s="1"/>
  <c r="E41" i="2"/>
  <c r="AE45" i="2"/>
  <c r="E45" i="2"/>
  <c r="AB14" i="4"/>
  <c r="AI12" i="4"/>
  <c r="AF45" i="2" s="1"/>
  <c r="AJ13" i="4"/>
  <c r="AG46" i="2" s="1"/>
  <c r="F46" i="2"/>
  <c r="AK12" i="4"/>
  <c r="AH45" i="2" s="1"/>
  <c r="M45" i="2"/>
  <c r="Y14" i="4"/>
  <c r="AF13" i="4"/>
  <c r="AC46" i="2" s="1"/>
  <c r="AF10" i="4"/>
  <c r="AC43" i="2" s="1"/>
  <c r="AH10" i="4"/>
  <c r="AE43" i="2" s="1"/>
  <c r="AD10" i="4"/>
  <c r="AA43" i="2" s="1"/>
  <c r="AJ10" i="4"/>
  <c r="AG43" i="2" s="1"/>
  <c r="P5" i="1"/>
  <c r="V14" i="4"/>
  <c r="AC10" i="4"/>
  <c r="Z43" i="2" s="1"/>
  <c r="AI10" i="4"/>
  <c r="AF43" i="2" s="1"/>
  <c r="AK10" i="4"/>
  <c r="AH43" i="2" s="1"/>
  <c r="AH9" i="4"/>
  <c r="N42" i="2"/>
  <c r="AB16" i="3"/>
  <c r="Y20" i="2" s="1"/>
  <c r="S16" i="3"/>
  <c r="P20" i="2" s="1"/>
  <c r="Q16" i="3"/>
  <c r="N20" i="2" s="1"/>
  <c r="AA16" i="3"/>
  <c r="X20" i="2" s="1"/>
  <c r="U16" i="3"/>
  <c r="R20" i="2" s="1"/>
  <c r="Z16" i="3"/>
  <c r="W20" i="2" s="1"/>
  <c r="Y16" i="3"/>
  <c r="V20" i="2" s="1"/>
  <c r="X16" i="3"/>
  <c r="U20" i="2" s="1"/>
  <c r="V16" i="3"/>
  <c r="S20" i="2" s="1"/>
  <c r="T16" i="3"/>
  <c r="Q20" i="2" s="1"/>
  <c r="O47" i="2"/>
  <c r="G8" i="3"/>
  <c r="D13" i="2" s="1"/>
  <c r="V5" i="3"/>
  <c r="S9" i="2" s="1"/>
  <c r="T5" i="3"/>
  <c r="Q9" i="2" s="1"/>
  <c r="AA5" i="3"/>
  <c r="X9" i="2" s="1"/>
  <c r="Z5" i="3"/>
  <c r="W9" i="2" s="1"/>
  <c r="Y5" i="3"/>
  <c r="V9" i="2" s="1"/>
  <c r="X5" i="3"/>
  <c r="U9" i="2" s="1"/>
  <c r="W5" i="3"/>
  <c r="T9" i="2" s="1"/>
  <c r="U5" i="3"/>
  <c r="R9" i="2" s="1"/>
  <c r="S5" i="3"/>
  <c r="P9" i="2" s="1"/>
  <c r="R5" i="3"/>
  <c r="O9" i="2" s="1"/>
  <c r="V9" i="3"/>
  <c r="S15" i="2" s="1"/>
  <c r="Y9" i="3"/>
  <c r="V15" i="2" s="1"/>
  <c r="J9" i="3"/>
  <c r="G15" i="2" s="1"/>
  <c r="X9" i="3"/>
  <c r="U15" i="2" s="1"/>
  <c r="I9" i="3"/>
  <c r="F15" i="2" s="1"/>
  <c r="W9" i="3"/>
  <c r="T15" i="2" s="1"/>
  <c r="H9" i="3"/>
  <c r="E15" i="2" s="1"/>
  <c r="T9" i="3"/>
  <c r="Q15" i="2" s="1"/>
  <c r="O9" i="3"/>
  <c r="L15" i="2" s="1"/>
  <c r="M9" i="3"/>
  <c r="J15" i="2" s="1"/>
  <c r="L9" i="3"/>
  <c r="I15" i="2" s="1"/>
  <c r="K9" i="3"/>
  <c r="H15" i="2" s="1"/>
  <c r="AB9" i="3"/>
  <c r="Y15" i="2" s="1"/>
  <c r="AA9" i="3"/>
  <c r="X15" i="2" s="1"/>
  <c r="Z9" i="3"/>
  <c r="W15" i="2" s="1"/>
  <c r="U9" i="3"/>
  <c r="R15" i="2" s="1"/>
  <c r="S9" i="3"/>
  <c r="P15" i="2" s="1"/>
  <c r="Q9" i="3"/>
  <c r="N15" i="2" s="1"/>
  <c r="Z8" i="3"/>
  <c r="W13" i="2" s="1"/>
  <c r="L8" i="3"/>
  <c r="I13" i="2" s="1"/>
  <c r="Y8" i="3"/>
  <c r="V13" i="2" s="1"/>
  <c r="K8" i="3"/>
  <c r="H13" i="2" s="1"/>
  <c r="X8" i="3"/>
  <c r="U13" i="2" s="1"/>
  <c r="J8" i="3"/>
  <c r="G13" i="2" s="1"/>
  <c r="V8" i="3"/>
  <c r="S13" i="2" s="1"/>
  <c r="Q8" i="3"/>
  <c r="N13" i="2" s="1"/>
  <c r="O8" i="3"/>
  <c r="L13" i="2" s="1"/>
  <c r="N8" i="3"/>
  <c r="K13" i="2" s="1"/>
  <c r="M8" i="3"/>
  <c r="J13" i="2" s="1"/>
  <c r="I8" i="3"/>
  <c r="F13" i="2" s="1"/>
  <c r="AB8" i="3"/>
  <c r="Y13" i="2" s="1"/>
  <c r="H8" i="3"/>
  <c r="E13" i="2" s="1"/>
  <c r="AA8" i="3"/>
  <c r="X13" i="2" s="1"/>
  <c r="W8" i="3"/>
  <c r="T13" i="2" s="1"/>
  <c r="U8" i="3"/>
  <c r="R13" i="2" s="1"/>
  <c r="S8" i="3"/>
  <c r="P13" i="2" s="1"/>
  <c r="F8" i="3"/>
  <c r="C13" i="2" s="1"/>
  <c r="D26" i="3"/>
  <c r="V2" i="3"/>
  <c r="H2" i="3"/>
  <c r="U2" i="3"/>
  <c r="G2" i="3"/>
  <c r="T2" i="3"/>
  <c r="F2" i="3"/>
  <c r="Z2" i="3"/>
  <c r="I2" i="3"/>
  <c r="R2" i="3"/>
  <c r="P2" i="3"/>
  <c r="O2" i="3"/>
  <c r="N2" i="3"/>
  <c r="M2" i="3"/>
  <c r="L2" i="3"/>
  <c r="X2" i="3"/>
  <c r="W2" i="3"/>
  <c r="S2" i="3"/>
  <c r="K2" i="3"/>
  <c r="AB2" i="3"/>
  <c r="Y2" i="3"/>
  <c r="R8" i="3"/>
  <c r="O13" i="2" s="1"/>
  <c r="AJ11" i="3"/>
  <c r="AG17" i="2" s="1"/>
  <c r="AE17" i="3"/>
  <c r="AB21" i="2" s="1"/>
  <c r="AI19" i="3"/>
  <c r="AF23" i="2" s="1"/>
  <c r="N6" i="2"/>
  <c r="N9" i="3"/>
  <c r="K15" i="2" s="1"/>
  <c r="AI14" i="3"/>
  <c r="AF18" i="2" s="1"/>
  <c r="AA2" i="3"/>
  <c r="P9" i="3"/>
  <c r="M15" i="2" s="1"/>
  <c r="AC19" i="3"/>
  <c r="Z23" i="2" s="1"/>
  <c r="R9" i="3"/>
  <c r="O15" i="2" s="1"/>
  <c r="AH14" i="3"/>
  <c r="AE18" i="2" s="1"/>
  <c r="T10" i="3"/>
  <c r="Q16" i="2" s="1"/>
  <c r="AA10" i="3"/>
  <c r="X16" i="2" s="1"/>
  <c r="L10" i="3"/>
  <c r="I16" i="2" s="1"/>
  <c r="Z10" i="3"/>
  <c r="W16" i="2" s="1"/>
  <c r="K10" i="3"/>
  <c r="H16" i="2" s="1"/>
  <c r="Y10" i="3"/>
  <c r="V16" i="2" s="1"/>
  <c r="V10" i="3"/>
  <c r="S16" i="2" s="1"/>
  <c r="P10" i="3"/>
  <c r="M16" i="2" s="1"/>
  <c r="N10" i="3"/>
  <c r="K16" i="2" s="1"/>
  <c r="M10" i="3"/>
  <c r="J16" i="2" s="1"/>
  <c r="AB10" i="3"/>
  <c r="Y16" i="2" s="1"/>
  <c r="AF11" i="3"/>
  <c r="AC17" i="2" s="1"/>
  <c r="Z24" i="3"/>
  <c r="W28" i="2" s="1"/>
  <c r="L24" i="3"/>
  <c r="I28" i="2" s="1"/>
  <c r="X24" i="3"/>
  <c r="U28" i="2" s="1"/>
  <c r="J24" i="3"/>
  <c r="G28" i="2" s="1"/>
  <c r="T24" i="3"/>
  <c r="Q28" i="2" s="1"/>
  <c r="F24" i="3"/>
  <c r="C28" i="2" s="1"/>
  <c r="N24" i="3"/>
  <c r="K28" i="2" s="1"/>
  <c r="K24" i="3"/>
  <c r="H28" i="2" s="1"/>
  <c r="AB24" i="3"/>
  <c r="Y28" i="2" s="1"/>
  <c r="I24" i="3"/>
  <c r="F28" i="2" s="1"/>
  <c r="AA24" i="3"/>
  <c r="X28" i="2" s="1"/>
  <c r="H24" i="3"/>
  <c r="E28" i="2" s="1"/>
  <c r="Y24" i="3"/>
  <c r="V28" i="2" s="1"/>
  <c r="G24" i="3"/>
  <c r="D28" i="2" s="1"/>
  <c r="W24" i="3"/>
  <c r="T28" i="2" s="1"/>
  <c r="P24" i="3"/>
  <c r="M28" i="2" s="1"/>
  <c r="V24" i="3"/>
  <c r="S28" i="2" s="1"/>
  <c r="U24" i="3"/>
  <c r="R28" i="2" s="1"/>
  <c r="S24" i="3"/>
  <c r="P28" i="2" s="1"/>
  <c r="R24" i="3"/>
  <c r="O28" i="2" s="1"/>
  <c r="Q24" i="3"/>
  <c r="N28" i="2" s="1"/>
  <c r="AE13" i="4"/>
  <c r="AB46" i="2" s="1"/>
  <c r="I46" i="2"/>
  <c r="L14" i="4"/>
  <c r="AK13" i="4"/>
  <c r="AH46" i="2" s="1"/>
  <c r="W46" i="2"/>
  <c r="AC13" i="3"/>
  <c r="Z11" i="2" s="1"/>
  <c r="AD21" i="3"/>
  <c r="AA25" i="2" s="1"/>
  <c r="AJ21" i="3"/>
  <c r="AG25" i="2" s="1"/>
  <c r="M24" i="3"/>
  <c r="J28" i="2" s="1"/>
  <c r="E11" i="6"/>
  <c r="AL7" i="5"/>
  <c r="AI54" i="2" s="1"/>
  <c r="AE54" i="2"/>
  <c r="AC8" i="5"/>
  <c r="B55" i="2"/>
  <c r="AH8" i="5"/>
  <c r="P55" i="2"/>
  <c r="AB3" i="3"/>
  <c r="Y7" i="2" s="1"/>
  <c r="N3" i="3"/>
  <c r="K7" i="2" s="1"/>
  <c r="AA3" i="3"/>
  <c r="X7" i="2" s="1"/>
  <c r="M3" i="3"/>
  <c r="J7" i="2" s="1"/>
  <c r="Z3" i="3"/>
  <c r="W7" i="2" s="1"/>
  <c r="L3" i="3"/>
  <c r="I7" i="2" s="1"/>
  <c r="X3" i="3"/>
  <c r="U7" i="2" s="1"/>
  <c r="G3" i="3"/>
  <c r="D7" i="2" s="1"/>
  <c r="S3" i="3"/>
  <c r="P7" i="2" s="1"/>
  <c r="Q3" i="3"/>
  <c r="N7" i="2" s="1"/>
  <c r="P3" i="3"/>
  <c r="M7" i="2" s="1"/>
  <c r="O3" i="3"/>
  <c r="L7" i="2" s="1"/>
  <c r="K3" i="3"/>
  <c r="H7" i="2" s="1"/>
  <c r="J3" i="3"/>
  <c r="G7" i="2" s="1"/>
  <c r="AG11" i="4"/>
  <c r="AF4" i="4"/>
  <c r="P14" i="4"/>
  <c r="AD7" i="4"/>
  <c r="AA40" i="2" s="1"/>
  <c r="F40" i="2"/>
  <c r="AJ7" i="4"/>
  <c r="AG40" i="2" s="1"/>
  <c r="T40" i="2"/>
  <c r="AG12" i="4"/>
  <c r="I3" i="3"/>
  <c r="F7" i="2" s="1"/>
  <c r="R10" i="3"/>
  <c r="O16" i="2" s="1"/>
  <c r="T3" i="3"/>
  <c r="Q7" i="2" s="1"/>
  <c r="AE7" i="3"/>
  <c r="AB12" i="2" s="1"/>
  <c r="U10" i="3"/>
  <c r="R16" i="2" s="1"/>
  <c r="AF5" i="3"/>
  <c r="AC9" i="2" s="1"/>
  <c r="AD18" i="3"/>
  <c r="AA22" i="2" s="1"/>
  <c r="AE28" i="3"/>
  <c r="AB32" i="2" s="1"/>
  <c r="W10" i="3"/>
  <c r="T16" i="2" s="1"/>
  <c r="AC21" i="3"/>
  <c r="Z25" i="2" s="1"/>
  <c r="AK28" i="3"/>
  <c r="AH32" i="2" s="1"/>
  <c r="X10" i="3"/>
  <c r="U16" i="2" s="1"/>
  <c r="AH17" i="3"/>
  <c r="AE21" i="2" s="1"/>
  <c r="AJ6" i="4"/>
  <c r="AG39" i="2" s="1"/>
  <c r="X14" i="4"/>
  <c r="AC4" i="5"/>
  <c r="E14" i="5"/>
  <c r="S14" i="5"/>
  <c r="AH4" i="5"/>
  <c r="AI4" i="6"/>
  <c r="T10" i="6"/>
  <c r="H14" i="4"/>
  <c r="AD16" i="3"/>
  <c r="AA20" i="2" s="1"/>
  <c r="AF19" i="3"/>
  <c r="AC23" i="2" s="1"/>
  <c r="AD5" i="4"/>
  <c r="AA38" i="2" s="1"/>
  <c r="AC8" i="4"/>
  <c r="AD4" i="6"/>
  <c r="H10" i="6"/>
  <c r="X15" i="3"/>
  <c r="U19" i="2" s="1"/>
  <c r="Z15" i="3"/>
  <c r="W19" i="2" s="1"/>
  <c r="W15" i="3"/>
  <c r="T19" i="2" s="1"/>
  <c r="V15" i="3"/>
  <c r="S19" i="2" s="1"/>
  <c r="U15" i="3"/>
  <c r="R19" i="2" s="1"/>
  <c r="T15" i="3"/>
  <c r="Q19" i="2" s="1"/>
  <c r="S15" i="3"/>
  <c r="P19" i="2" s="1"/>
  <c r="R15" i="3"/>
  <c r="O19" i="2" s="1"/>
  <c r="J14" i="4"/>
  <c r="H14" i="5"/>
  <c r="AD4" i="5"/>
  <c r="Y15" i="3"/>
  <c r="V19" i="2" s="1"/>
  <c r="K14" i="4"/>
  <c r="T14" i="4"/>
  <c r="AA15" i="3"/>
  <c r="X19" i="2" s="1"/>
  <c r="AB20" i="3"/>
  <c r="Y24" i="2" s="1"/>
  <c r="Y20" i="3"/>
  <c r="V24" i="2" s="1"/>
  <c r="AB22" i="3"/>
  <c r="Y26" i="2" s="1"/>
  <c r="N22" i="3"/>
  <c r="K26" i="2" s="1"/>
  <c r="Z22" i="3"/>
  <c r="W26" i="2" s="1"/>
  <c r="L22" i="3"/>
  <c r="I26" i="2" s="1"/>
  <c r="V22" i="3"/>
  <c r="S26" i="2" s="1"/>
  <c r="H22" i="3"/>
  <c r="E26" i="2" s="1"/>
  <c r="R22" i="3"/>
  <c r="O26" i="2" s="1"/>
  <c r="P22" i="3"/>
  <c r="M26" i="2" s="1"/>
  <c r="O22" i="3"/>
  <c r="L26" i="2" s="1"/>
  <c r="M22" i="3"/>
  <c r="J26" i="2" s="1"/>
  <c r="K22" i="3"/>
  <c r="H26" i="2" s="1"/>
  <c r="J22" i="3"/>
  <c r="G26" i="2" s="1"/>
  <c r="AK4" i="4"/>
  <c r="Z14" i="4"/>
  <c r="AB15" i="3"/>
  <c r="Y19" i="2" s="1"/>
  <c r="X19" i="3"/>
  <c r="U23" i="2" s="1"/>
  <c r="AB19" i="3"/>
  <c r="Y23" i="2" s="1"/>
  <c r="AA19" i="3"/>
  <c r="X23" i="2" s="1"/>
  <c r="Z19" i="3"/>
  <c r="W23" i="2" s="1"/>
  <c r="Y19" i="3"/>
  <c r="V23" i="2" s="1"/>
  <c r="E22" i="3"/>
  <c r="B26" i="2" s="1"/>
  <c r="AK25" i="3"/>
  <c r="AH29" i="2" s="1"/>
  <c r="M14" i="4"/>
  <c r="AA14" i="4"/>
  <c r="AJ8" i="4"/>
  <c r="Z17" i="3"/>
  <c r="W21" i="2" s="1"/>
  <c r="X17" i="3"/>
  <c r="U21" i="2" s="1"/>
  <c r="AB17" i="3"/>
  <c r="Y21" i="2" s="1"/>
  <c r="Y17" i="3"/>
  <c r="V21" i="2" s="1"/>
  <c r="W17" i="3"/>
  <c r="T21" i="2" s="1"/>
  <c r="V17" i="3"/>
  <c r="S21" i="2" s="1"/>
  <c r="AI18" i="3"/>
  <c r="AF22" i="2" s="1"/>
  <c r="G22" i="3"/>
  <c r="D26" i="2" s="1"/>
  <c r="AF25" i="3"/>
  <c r="AC29" i="2" s="1"/>
  <c r="AJ28" i="3"/>
  <c r="AG32" i="2" s="1"/>
  <c r="O14" i="4"/>
  <c r="T14" i="5"/>
  <c r="P14" i="5"/>
  <c r="AH5" i="5"/>
  <c r="AF9" i="6"/>
  <c r="AC70" i="2" s="1"/>
  <c r="L70" i="2"/>
  <c r="N46" i="2"/>
  <c r="F60" i="2"/>
  <c r="T60" i="2"/>
  <c r="AC16" i="3"/>
  <c r="Z20" i="2" s="1"/>
  <c r="AE18" i="3"/>
  <c r="AB22" i="2" s="1"/>
  <c r="AA20" i="3"/>
  <c r="X24" i="2" s="1"/>
  <c r="AE21" i="3"/>
  <c r="AB25" i="2" s="1"/>
  <c r="U22" i="3"/>
  <c r="R26" i="2" s="1"/>
  <c r="F14" i="4"/>
  <c r="AH11" i="4"/>
  <c r="AG13" i="4"/>
  <c r="R14" i="5"/>
  <c r="AC6" i="5"/>
  <c r="AC4" i="6"/>
  <c r="AH4" i="6"/>
  <c r="S10" i="6"/>
  <c r="Q14" i="4"/>
  <c r="I14" i="5"/>
  <c r="W14" i="5"/>
  <c r="AG7" i="6"/>
  <c r="AE10" i="6"/>
  <c r="AE4" i="5"/>
  <c r="K14" i="5"/>
  <c r="L10" i="6"/>
  <c r="Z10" i="6"/>
  <c r="R4" i="3"/>
  <c r="O8" i="2" s="1"/>
  <c r="P12" i="3"/>
  <c r="M14" i="2" s="1"/>
  <c r="Q7" i="3"/>
  <c r="N12" i="2" s="1"/>
  <c r="Z11" i="3"/>
  <c r="W17" i="2" s="1"/>
  <c r="L11" i="3"/>
  <c r="I17" i="2" s="1"/>
  <c r="S11" i="3"/>
  <c r="P17" i="2" s="1"/>
  <c r="AB6" i="3"/>
  <c r="Y10" i="2" s="1"/>
  <c r="Z6" i="3"/>
  <c r="W10" i="2" s="1"/>
  <c r="AH5" i="4"/>
  <c r="L14" i="5"/>
  <c r="Z14" i="5"/>
  <c r="AE9" i="5"/>
  <c r="AB56" i="2" s="1"/>
  <c r="AF10" i="5"/>
  <c r="AC57" i="2" s="1"/>
  <c r="M10" i="6"/>
  <c r="AA10" i="6"/>
  <c r="E4" i="3"/>
  <c r="B8" i="2" s="1"/>
  <c r="S4" i="3"/>
  <c r="P8" i="2" s="1"/>
  <c r="Q12" i="3"/>
  <c r="N14" i="2" s="1"/>
  <c r="T11" i="3"/>
  <c r="Q17" i="2" s="1"/>
  <c r="S6" i="3"/>
  <c r="P10" i="2" s="1"/>
  <c r="E14" i="4"/>
  <c r="M14" i="5"/>
  <c r="AA14" i="5"/>
  <c r="AG11" i="5"/>
  <c r="F4" i="3"/>
  <c r="C8" i="2" s="1"/>
  <c r="AB7" i="3"/>
  <c r="Y12" i="2" s="1"/>
  <c r="N7" i="3"/>
  <c r="K12" i="2" s="1"/>
  <c r="S7" i="3"/>
  <c r="P12" i="2" s="1"/>
  <c r="U11" i="3"/>
  <c r="R17" i="2" s="1"/>
  <c r="T6" i="3"/>
  <c r="Q10" i="2" s="1"/>
  <c r="AD20" i="3"/>
  <c r="AA24" i="2" s="1"/>
  <c r="AH21" i="3"/>
  <c r="AE25" i="2" s="1"/>
  <c r="AD25" i="3"/>
  <c r="AA29" i="2" s="1"/>
  <c r="AF4" i="5"/>
  <c r="AE7" i="5"/>
  <c r="AB54" i="2" s="1"/>
  <c r="AF8" i="5"/>
  <c r="AC55" i="2" s="1"/>
  <c r="O10" i="6"/>
  <c r="AC28" i="3"/>
  <c r="I14" i="4"/>
  <c r="W14" i="4"/>
  <c r="AC6" i="4"/>
  <c r="AH7" i="4"/>
  <c r="O14" i="5"/>
  <c r="AL11" i="5"/>
  <c r="AI58" i="2" s="1"/>
  <c r="AC12" i="5"/>
  <c r="AI6" i="6"/>
  <c r="AF67" i="2" s="1"/>
  <c r="AI6" i="4"/>
  <c r="AF39" i="2" s="1"/>
  <c r="AF6" i="5"/>
  <c r="AC53" i="2" s="1"/>
  <c r="AI12" i="5"/>
  <c r="AF59" i="2" s="1"/>
  <c r="Q14" i="5"/>
  <c r="AL9" i="5"/>
  <c r="AI56" i="2" s="1"/>
  <c r="AC10" i="5"/>
  <c r="AK4" i="5"/>
  <c r="AK4" i="6"/>
  <c r="K10" i="6"/>
  <c r="R23" i="3"/>
  <c r="O27" i="2" s="1"/>
  <c r="N14" i="5"/>
  <c r="N10" i="6"/>
  <c r="F23" i="3"/>
  <c r="C27" i="2" s="1"/>
  <c r="AD10" i="3" l="1"/>
  <c r="AA16" i="2" s="1"/>
  <c r="AC10" i="3"/>
  <c r="Z16" i="2" s="1"/>
  <c r="AD6" i="3"/>
  <c r="AA10" i="2" s="1"/>
  <c r="AH25" i="3"/>
  <c r="AE29" i="2" s="1"/>
  <c r="AD5" i="3"/>
  <c r="AA9" i="2" s="1"/>
  <c r="AH13" i="3"/>
  <c r="AE11" i="2" s="1"/>
  <c r="AE13" i="3"/>
  <c r="AB11" i="2" s="1"/>
  <c r="AG8" i="6"/>
  <c r="AC69" i="2"/>
  <c r="AL5" i="6"/>
  <c r="AI66" i="2" s="1"/>
  <c r="R7" i="1"/>
  <c r="AL7" i="6"/>
  <c r="AI68" i="2" s="1"/>
  <c r="B71" i="2"/>
  <c r="M71" i="2"/>
  <c r="M7" i="1"/>
  <c r="AG9" i="4"/>
  <c r="AD42" i="2" s="1"/>
  <c r="AG5" i="4"/>
  <c r="AK4" i="3"/>
  <c r="AH8" i="2" s="1"/>
  <c r="AF13" i="3"/>
  <c r="AC11" i="2" s="1"/>
  <c r="AD13" i="3"/>
  <c r="AA11" i="2" s="1"/>
  <c r="AC6" i="3"/>
  <c r="Z10" i="2" s="1"/>
  <c r="AF6" i="3"/>
  <c r="AC10" i="2" s="1"/>
  <c r="K10" i="2"/>
  <c r="AD4" i="3"/>
  <c r="AA8" i="2" s="1"/>
  <c r="AF4" i="3"/>
  <c r="AC8" i="2" s="1"/>
  <c r="AE4" i="3"/>
  <c r="AB8" i="2" s="1"/>
  <c r="G61" i="2"/>
  <c r="R6" i="1"/>
  <c r="D61" i="2"/>
  <c r="AG5" i="5"/>
  <c r="S6" i="1"/>
  <c r="AC5" i="3"/>
  <c r="Z9" i="2" s="1"/>
  <c r="AH23" i="3"/>
  <c r="AE27" i="2" s="1"/>
  <c r="AJ16" i="3"/>
  <c r="AG20" i="2" s="1"/>
  <c r="AG15" i="3"/>
  <c r="AD19" i="2" s="1"/>
  <c r="AE6" i="3"/>
  <c r="AB10" i="2" s="1"/>
  <c r="AE5" i="3"/>
  <c r="AB9" i="2" s="1"/>
  <c r="AC25" i="3"/>
  <c r="Z29" i="2" s="1"/>
  <c r="AJ22" i="3"/>
  <c r="AG26" i="2" s="1"/>
  <c r="AF14" i="3"/>
  <c r="AC18" i="2" s="1"/>
  <c r="E26" i="3"/>
  <c r="E27" i="3" s="1"/>
  <c r="B31" i="2" s="1"/>
  <c r="AH2" i="3"/>
  <c r="AE6" i="2" s="1"/>
  <c r="AE25" i="3"/>
  <c r="AB29" i="2" s="1"/>
  <c r="AJ20" i="3"/>
  <c r="AG24" i="2" s="1"/>
  <c r="AJ7" i="3"/>
  <c r="AG12" i="2" s="1"/>
  <c r="Q26" i="3"/>
  <c r="N30" i="2" s="1"/>
  <c r="AJ6" i="3"/>
  <c r="AG10" i="2" s="1"/>
  <c r="AH5" i="3"/>
  <c r="AE9" i="2" s="1"/>
  <c r="AI4" i="3"/>
  <c r="AF8" i="2" s="1"/>
  <c r="AK13" i="3"/>
  <c r="AH11" i="2" s="1"/>
  <c r="AJ13" i="3"/>
  <c r="AG11" i="2" s="1"/>
  <c r="AC23" i="3"/>
  <c r="Z27" i="2" s="1"/>
  <c r="AI23" i="3"/>
  <c r="AF27" i="2" s="1"/>
  <c r="AG5" i="3"/>
  <c r="AD9" i="2" s="1"/>
  <c r="AK18" i="3"/>
  <c r="AH22" i="2" s="1"/>
  <c r="AI7" i="3"/>
  <c r="AF12" i="2" s="1"/>
  <c r="AJ23" i="3"/>
  <c r="AG27" i="2" s="1"/>
  <c r="AJ18" i="3"/>
  <c r="AG22" i="2" s="1"/>
  <c r="AK14" i="3"/>
  <c r="AH18" i="2" s="1"/>
  <c r="AJ4" i="3"/>
  <c r="AG8" i="2" s="1"/>
  <c r="AK21" i="3"/>
  <c r="AH25" i="2" s="1"/>
  <c r="AJ14" i="3"/>
  <c r="AG18" i="2" s="1"/>
  <c r="AJ25" i="3"/>
  <c r="AG29" i="2" s="1"/>
  <c r="AE14" i="3"/>
  <c r="AB18" i="2" s="1"/>
  <c r="AI13" i="3"/>
  <c r="AF11" i="2" s="1"/>
  <c r="AI25" i="3"/>
  <c r="AF29" i="2" s="1"/>
  <c r="AC12" i="3"/>
  <c r="Z14" i="2" s="1"/>
  <c r="AD12" i="3"/>
  <c r="AA14" i="2" s="1"/>
  <c r="AF12" i="3"/>
  <c r="AC14" i="2" s="1"/>
  <c r="AE12" i="3"/>
  <c r="AB14" i="2" s="1"/>
  <c r="AJ12" i="3"/>
  <c r="AG14" i="2" s="1"/>
  <c r="AI12" i="3"/>
  <c r="AF14" i="2" s="1"/>
  <c r="AK12" i="3"/>
  <c r="AH14" i="2" s="1"/>
  <c r="F7" i="1"/>
  <c r="G7" i="1"/>
  <c r="T7" i="1"/>
  <c r="D7" i="1"/>
  <c r="AG6" i="6"/>
  <c r="AD67" i="2" s="1"/>
  <c r="AB67" i="2"/>
  <c r="V7" i="1"/>
  <c r="V71" i="2"/>
  <c r="U71" i="2"/>
  <c r="U7" i="1"/>
  <c r="S71" i="2"/>
  <c r="S7" i="1"/>
  <c r="C7" i="1"/>
  <c r="C71" i="2"/>
  <c r="AG5" i="6"/>
  <c r="AD66" i="2" s="1"/>
  <c r="AJ10" i="6"/>
  <c r="AG7" i="1" s="1"/>
  <c r="Y61" i="2"/>
  <c r="Y6" i="1"/>
  <c r="AI14" i="5"/>
  <c r="AF6" i="1" s="1"/>
  <c r="AL13" i="5"/>
  <c r="AI60" i="2" s="1"/>
  <c r="AG13" i="5"/>
  <c r="AD60" i="2" s="1"/>
  <c r="AL10" i="5"/>
  <c r="AI57" i="2" s="1"/>
  <c r="AE57" i="2"/>
  <c r="U61" i="2"/>
  <c r="U6" i="1"/>
  <c r="C61" i="2"/>
  <c r="C6" i="1"/>
  <c r="AJ14" i="5"/>
  <c r="V61" i="2"/>
  <c r="V6" i="1"/>
  <c r="AL10" i="4"/>
  <c r="AI43" i="2" s="1"/>
  <c r="K47" i="2"/>
  <c r="R47" i="2"/>
  <c r="D5" i="1"/>
  <c r="V47" i="2"/>
  <c r="V5" i="1"/>
  <c r="AL13" i="4"/>
  <c r="AI46" i="2" s="1"/>
  <c r="Y5" i="1"/>
  <c r="Y47" i="2"/>
  <c r="AL12" i="4"/>
  <c r="AI45" i="2" s="1"/>
  <c r="AC14" i="4"/>
  <c r="Z5" i="1" s="1"/>
  <c r="S47" i="2"/>
  <c r="S5" i="1"/>
  <c r="AG10" i="4"/>
  <c r="AD43" i="2" s="1"/>
  <c r="AL7" i="4"/>
  <c r="AI40" i="2" s="1"/>
  <c r="AE40" i="2"/>
  <c r="AE14" i="4"/>
  <c r="AL8" i="5"/>
  <c r="AI55" i="2" s="1"/>
  <c r="AE55" i="2"/>
  <c r="I47" i="2"/>
  <c r="I5" i="1"/>
  <c r="AF10" i="3"/>
  <c r="AC16" i="2" s="1"/>
  <c r="X26" i="3"/>
  <c r="U6" i="2"/>
  <c r="V26" i="3"/>
  <c r="S6" i="2"/>
  <c r="AH8" i="3"/>
  <c r="AE13" i="2" s="1"/>
  <c r="AE9" i="3"/>
  <c r="AB15" i="2" s="1"/>
  <c r="AJ14" i="4"/>
  <c r="N61" i="2"/>
  <c r="N6" i="1"/>
  <c r="AK11" i="3"/>
  <c r="AH17" i="2" s="1"/>
  <c r="AK22" i="3"/>
  <c r="AH26" i="2" s="1"/>
  <c r="AD38" i="2"/>
  <c r="AI15" i="3"/>
  <c r="AF19" i="2" s="1"/>
  <c r="AG10" i="5"/>
  <c r="Z57" i="2"/>
  <c r="L6" i="1"/>
  <c r="L61" i="2"/>
  <c r="AI6" i="3"/>
  <c r="AF10" i="2" s="1"/>
  <c r="B47" i="2"/>
  <c r="E15" i="4"/>
  <c r="B5" i="1"/>
  <c r="AK6" i="3"/>
  <c r="AH10" i="2" s="1"/>
  <c r="AE14" i="5"/>
  <c r="AB51" i="2"/>
  <c r="AD46" i="2"/>
  <c r="AJ17" i="3"/>
  <c r="AG21" i="2" s="1"/>
  <c r="AK19" i="3"/>
  <c r="AH23" i="2" s="1"/>
  <c r="AD14" i="5"/>
  <c r="AA51" i="2"/>
  <c r="AL11" i="4"/>
  <c r="AI44" i="2" s="1"/>
  <c r="AE44" i="2"/>
  <c r="AL5" i="5"/>
  <c r="AI52" i="2" s="1"/>
  <c r="AE52" i="2"/>
  <c r="AD22" i="3"/>
  <c r="AA26" i="2" s="1"/>
  <c r="E6" i="1"/>
  <c r="E61" i="2"/>
  <c r="AG7" i="5"/>
  <c r="AG6" i="4"/>
  <c r="Z39" i="2"/>
  <c r="AI11" i="3"/>
  <c r="AF17" i="2" s="1"/>
  <c r="AJ19" i="3"/>
  <c r="AG23" i="2" s="1"/>
  <c r="C47" i="2"/>
  <c r="C5" i="1"/>
  <c r="M6" i="1"/>
  <c r="M61" i="2"/>
  <c r="G47" i="2"/>
  <c r="G5" i="1"/>
  <c r="AI3" i="3"/>
  <c r="AF7" i="2" s="1"/>
  <c r="M47" i="2"/>
  <c r="M5" i="1"/>
  <c r="AG20" i="3"/>
  <c r="AD24" i="2" s="1"/>
  <c r="L26" i="3"/>
  <c r="I6" i="2"/>
  <c r="D27" i="3"/>
  <c r="D29" i="3" s="1"/>
  <c r="AH10" i="3"/>
  <c r="AE16" i="2" s="1"/>
  <c r="AM5" i="5"/>
  <c r="AJ52" i="2" s="1"/>
  <c r="AD52" i="2"/>
  <c r="AB71" i="2"/>
  <c r="AB7" i="1"/>
  <c r="AF14" i="4"/>
  <c r="AC37" i="2"/>
  <c r="AG8" i="5"/>
  <c r="Z55" i="2"/>
  <c r="AE24" i="3"/>
  <c r="AB28" i="2" s="1"/>
  <c r="M26" i="3"/>
  <c r="J6" i="2"/>
  <c r="AD3" i="3"/>
  <c r="AA7" i="2" s="1"/>
  <c r="Q61" i="2"/>
  <c r="Q6" i="1"/>
  <c r="AG17" i="3"/>
  <c r="AD21" i="2" s="1"/>
  <c r="AC3" i="3"/>
  <c r="Z7" i="2" s="1"/>
  <c r="AE8" i="3"/>
  <c r="AB13" i="2" s="1"/>
  <c r="AI9" i="3"/>
  <c r="AF15" i="2" s="1"/>
  <c r="AI16" i="3"/>
  <c r="AF20" i="2" s="1"/>
  <c r="AD44" i="2"/>
  <c r="AE10" i="3"/>
  <c r="AB16" i="2" s="1"/>
  <c r="AK20" i="3"/>
  <c r="AH24" i="2" s="1"/>
  <c r="O26" i="3"/>
  <c r="L6" i="2"/>
  <c r="L71" i="2"/>
  <c r="L7" i="1"/>
  <c r="X71" i="2"/>
  <c r="X7" i="1"/>
  <c r="F61" i="2"/>
  <c r="F6" i="1"/>
  <c r="AG4" i="4"/>
  <c r="AL8" i="4"/>
  <c r="AI41" i="2" s="1"/>
  <c r="AG41" i="2"/>
  <c r="AL6" i="4"/>
  <c r="AI39" i="2" s="1"/>
  <c r="E47" i="2"/>
  <c r="E5" i="1"/>
  <c r="AI24" i="3"/>
  <c r="AF28" i="2" s="1"/>
  <c r="AK10" i="3"/>
  <c r="AH16" i="2" s="1"/>
  <c r="AG19" i="3"/>
  <c r="AD23" i="2" s="1"/>
  <c r="P26" i="3"/>
  <c r="M6" i="2"/>
  <c r="AD9" i="3"/>
  <c r="AA15" i="2" s="1"/>
  <c r="AJ5" i="3"/>
  <c r="AG9" i="2" s="1"/>
  <c r="AK3" i="3"/>
  <c r="AH7" i="2" s="1"/>
  <c r="J71" i="2"/>
  <c r="J7" i="1"/>
  <c r="N47" i="2"/>
  <c r="N5" i="1"/>
  <c r="AG16" i="3"/>
  <c r="AD20" i="2" s="1"/>
  <c r="AD14" i="4"/>
  <c r="AG7" i="4"/>
  <c r="W47" i="2"/>
  <c r="W5" i="1"/>
  <c r="Q71" i="2"/>
  <c r="Q7" i="1"/>
  <c r="AD45" i="2"/>
  <c r="F11" i="6"/>
  <c r="B72" i="2"/>
  <c r="R26" i="3"/>
  <c r="O6" i="2"/>
  <c r="AJ8" i="3"/>
  <c r="AG13" i="2" s="1"/>
  <c r="AJ9" i="3"/>
  <c r="AG15" i="2" s="1"/>
  <c r="AL9" i="4"/>
  <c r="AE42" i="2"/>
  <c r="F47" i="2"/>
  <c r="F5" i="1"/>
  <c r="AF7" i="3"/>
  <c r="AC12" i="2" s="1"/>
  <c r="AK17" i="3"/>
  <c r="AH21" i="2" s="1"/>
  <c r="AH24" i="3"/>
  <c r="AE28" i="2" s="1"/>
  <c r="AF24" i="3"/>
  <c r="AC28" i="2" s="1"/>
  <c r="AF2" i="3"/>
  <c r="N26" i="3"/>
  <c r="K6" i="2"/>
  <c r="AH7" i="3"/>
  <c r="AE12" i="2" s="1"/>
  <c r="T61" i="2"/>
  <c r="T6" i="1"/>
  <c r="AF22" i="3"/>
  <c r="AC26" i="2" s="1"/>
  <c r="AF3" i="3"/>
  <c r="AC7" i="2" s="1"/>
  <c r="I26" i="3"/>
  <c r="F6" i="2"/>
  <c r="AK8" i="3"/>
  <c r="AH13" i="2" s="1"/>
  <c r="T5" i="1"/>
  <c r="T47" i="2"/>
  <c r="AH12" i="3"/>
  <c r="AE14" i="2" s="1"/>
  <c r="AM7" i="6"/>
  <c r="AJ68" i="2" s="1"/>
  <c r="AD68" i="2"/>
  <c r="X47" i="2"/>
  <c r="X5" i="1"/>
  <c r="AJ15" i="3"/>
  <c r="AG19" i="2" s="1"/>
  <c r="AI10" i="6"/>
  <c r="AF65" i="2"/>
  <c r="AI22" i="3"/>
  <c r="AF26" i="2" s="1"/>
  <c r="AK15" i="3"/>
  <c r="AH19" i="2" s="1"/>
  <c r="AL4" i="5"/>
  <c r="AH14" i="5"/>
  <c r="AE51" i="2"/>
  <c r="AG21" i="3"/>
  <c r="AD25" i="2" s="1"/>
  <c r="AH6" i="3"/>
  <c r="AE10" i="2" s="1"/>
  <c r="AI10" i="3"/>
  <c r="AF16" i="2" s="1"/>
  <c r="AA26" i="3"/>
  <c r="X6" i="2"/>
  <c r="Z26" i="3"/>
  <c r="AK2" i="3"/>
  <c r="W6" i="2"/>
  <c r="AD8" i="3"/>
  <c r="AA13" i="2" s="1"/>
  <c r="AH9" i="3"/>
  <c r="AE15" i="2" s="1"/>
  <c r="AK5" i="3"/>
  <c r="AH9" i="2" s="1"/>
  <c r="AK16" i="3"/>
  <c r="AH20" i="2" s="1"/>
  <c r="L47" i="2"/>
  <c r="L5" i="1"/>
  <c r="AK14" i="4"/>
  <c r="AH37" i="2"/>
  <c r="K61" i="2"/>
  <c r="K6" i="1"/>
  <c r="AF14" i="5"/>
  <c r="AC51" i="2"/>
  <c r="AL6" i="6"/>
  <c r="P71" i="2"/>
  <c r="P7" i="1"/>
  <c r="J47" i="2"/>
  <c r="J5" i="1"/>
  <c r="AG25" i="3"/>
  <c r="AD29" i="2" s="1"/>
  <c r="AL12" i="5"/>
  <c r="AI59" i="2" s="1"/>
  <c r="W61" i="2"/>
  <c r="W6" i="1"/>
  <c r="W7" i="1"/>
  <c r="W71" i="2"/>
  <c r="AL4" i="6"/>
  <c r="AH10" i="6"/>
  <c r="AE65" i="2"/>
  <c r="AE22" i="3"/>
  <c r="AB26" i="2" s="1"/>
  <c r="P61" i="2"/>
  <c r="P6" i="1"/>
  <c r="AJ10" i="3"/>
  <c r="AG16" i="2" s="1"/>
  <c r="AL28" i="3"/>
  <c r="AI32" i="2" s="1"/>
  <c r="AJ24" i="3"/>
  <c r="AG28" i="2" s="1"/>
  <c r="AK24" i="3"/>
  <c r="AH28" i="2" s="1"/>
  <c r="AJ3" i="3"/>
  <c r="AG7" i="2" s="1"/>
  <c r="J26" i="3"/>
  <c r="Y26" i="3"/>
  <c r="V6" i="2"/>
  <c r="F26" i="3"/>
  <c r="C6" i="2"/>
  <c r="AG28" i="3"/>
  <c r="Z32" i="2"/>
  <c r="I61" i="2"/>
  <c r="I6" i="1"/>
  <c r="I71" i="2"/>
  <c r="I7" i="1"/>
  <c r="AC10" i="6"/>
  <c r="AG4" i="6"/>
  <c r="Z65" i="2"/>
  <c r="AE3" i="3"/>
  <c r="AB7" i="2" s="1"/>
  <c r="AH15" i="3"/>
  <c r="AE19" i="2" s="1"/>
  <c r="AC24" i="3"/>
  <c r="Z28" i="2" s="1"/>
  <c r="AC2" i="3"/>
  <c r="AH22" i="3"/>
  <c r="AE26" i="2" s="1"/>
  <c r="Y6" i="2"/>
  <c r="AB26" i="3"/>
  <c r="T26" i="3"/>
  <c r="AI2" i="3"/>
  <c r="Q6" i="2"/>
  <c r="AI5" i="3"/>
  <c r="AF9" i="2" s="1"/>
  <c r="AE11" i="3"/>
  <c r="AB17" i="2" s="1"/>
  <c r="AK7" i="3"/>
  <c r="AH12" i="2" s="1"/>
  <c r="Q5" i="1"/>
  <c r="Q47" i="2"/>
  <c r="E15" i="5"/>
  <c r="B61" i="2"/>
  <c r="B6" i="1"/>
  <c r="AK10" i="6"/>
  <c r="AH65" i="2"/>
  <c r="X61" i="2"/>
  <c r="X6" i="1"/>
  <c r="AL5" i="4"/>
  <c r="AI38" i="2" s="1"/>
  <c r="AE38" i="2"/>
  <c r="AM13" i="5"/>
  <c r="AJ60" i="2" s="1"/>
  <c r="AG6" i="5"/>
  <c r="Z53" i="2"/>
  <c r="AG9" i="6"/>
  <c r="AC22" i="3"/>
  <c r="Z26" i="2" s="1"/>
  <c r="H47" i="2"/>
  <c r="H5" i="1"/>
  <c r="AD10" i="6"/>
  <c r="AA65" i="2"/>
  <c r="AC14" i="5"/>
  <c r="AG4" i="5"/>
  <c r="Z51" i="2"/>
  <c r="AE2" i="3"/>
  <c r="K26" i="3"/>
  <c r="H6" i="2"/>
  <c r="G26" i="3"/>
  <c r="D6" i="2"/>
  <c r="AK9" i="3"/>
  <c r="AH15" i="2" s="1"/>
  <c r="AH16" i="3"/>
  <c r="AE20" i="2" s="1"/>
  <c r="AC8" i="3"/>
  <c r="Z13" i="2" s="1"/>
  <c r="K71" i="2"/>
  <c r="K7" i="1"/>
  <c r="AF10" i="6"/>
  <c r="H71" i="2"/>
  <c r="H7" i="1"/>
  <c r="Z59" i="2"/>
  <c r="AG12" i="5"/>
  <c r="AL21" i="3"/>
  <c r="AI25" i="2" s="1"/>
  <c r="AM11" i="5"/>
  <c r="AJ58" i="2" s="1"/>
  <c r="AD58" i="2"/>
  <c r="AL23" i="3"/>
  <c r="AI27" i="2" s="1"/>
  <c r="E71" i="2"/>
  <c r="E7" i="1"/>
  <c r="AK14" i="5"/>
  <c r="AH51" i="2"/>
  <c r="AG9" i="5"/>
  <c r="J61" i="2"/>
  <c r="J6" i="1"/>
  <c r="AI14" i="4"/>
  <c r="H61" i="2"/>
  <c r="H6" i="1"/>
  <c r="O61" i="2"/>
  <c r="O6" i="1"/>
  <c r="AI17" i="3"/>
  <c r="AF21" i="2" s="1"/>
  <c r="AG8" i="4"/>
  <c r="Z41" i="2"/>
  <c r="U47" i="2"/>
  <c r="U5" i="1"/>
  <c r="AL4" i="4"/>
  <c r="AH4" i="3"/>
  <c r="AE8" i="2" s="1"/>
  <c r="AD24" i="3"/>
  <c r="AA28" i="2" s="1"/>
  <c r="S26" i="3"/>
  <c r="P6" i="2"/>
  <c r="U26" i="3"/>
  <c r="R6" i="2"/>
  <c r="AF8" i="3"/>
  <c r="AC13" i="2" s="1"/>
  <c r="AG14" i="3"/>
  <c r="AD18" i="2" s="1"/>
  <c r="AC4" i="3"/>
  <c r="Z8" i="2" s="1"/>
  <c r="AH14" i="4"/>
  <c r="AH3" i="3"/>
  <c r="AE7" i="2" s="1"/>
  <c r="AG12" i="3"/>
  <c r="AD14" i="2" s="1"/>
  <c r="AF9" i="3"/>
  <c r="AC15" i="2" s="1"/>
  <c r="AG18" i="3"/>
  <c r="AD22" i="2" s="1"/>
  <c r="W26" i="3"/>
  <c r="AJ2" i="3"/>
  <c r="T6" i="2"/>
  <c r="H26" i="3"/>
  <c r="AD2" i="3"/>
  <c r="E6" i="2"/>
  <c r="AH11" i="3"/>
  <c r="AE17" i="2" s="1"/>
  <c r="AI8" i="3"/>
  <c r="AF13" i="2" s="1"/>
  <c r="AG23" i="3" l="1"/>
  <c r="AD27" i="2" s="1"/>
  <c r="AG13" i="3"/>
  <c r="AD11" i="2" s="1"/>
  <c r="AG71" i="2"/>
  <c r="AM8" i="6"/>
  <c r="AJ69" i="2" s="1"/>
  <c r="AD69" i="2"/>
  <c r="AM11" i="4"/>
  <c r="AJ44" i="2" s="1"/>
  <c r="Q27" i="3"/>
  <c r="N31" i="2" s="1"/>
  <c r="AF61" i="2"/>
  <c r="B30" i="2"/>
  <c r="AL25" i="3"/>
  <c r="AI29" i="2" s="1"/>
  <c r="AL18" i="3"/>
  <c r="AI22" i="2" s="1"/>
  <c r="AG6" i="3"/>
  <c r="AD10" i="2" s="1"/>
  <c r="AL19" i="3"/>
  <c r="AI23" i="2" s="1"/>
  <c r="AL13" i="3"/>
  <c r="AI11" i="2" s="1"/>
  <c r="AL5" i="3"/>
  <c r="AI9" i="2" s="1"/>
  <c r="AL14" i="3"/>
  <c r="AI18" i="2" s="1"/>
  <c r="E29" i="3"/>
  <c r="E30" i="3" s="1"/>
  <c r="AM5" i="6"/>
  <c r="AJ66" i="2" s="1"/>
  <c r="AG6" i="1"/>
  <c r="AG61" i="2"/>
  <c r="AM10" i="4"/>
  <c r="AJ43" i="2" s="1"/>
  <c r="AM12" i="4"/>
  <c r="AJ45" i="2" s="1"/>
  <c r="Z47" i="2"/>
  <c r="AM13" i="4"/>
  <c r="AJ46" i="2" s="1"/>
  <c r="S27" i="3"/>
  <c r="P31" i="2" s="1"/>
  <c r="P30" i="2"/>
  <c r="AM7" i="4"/>
  <c r="AJ40" i="2" s="1"/>
  <c r="AD40" i="2"/>
  <c r="AM8" i="5"/>
  <c r="AJ55" i="2" s="1"/>
  <c r="AD55" i="2"/>
  <c r="L27" i="3"/>
  <c r="I31" i="2" s="1"/>
  <c r="I30" i="2"/>
  <c r="AA61" i="2"/>
  <c r="AA6" i="1"/>
  <c r="AA47" i="2"/>
  <c r="AA5" i="1"/>
  <c r="AG8" i="3"/>
  <c r="AD13" i="2" s="1"/>
  <c r="AL6" i="3"/>
  <c r="AI10" i="2" s="1"/>
  <c r="I27" i="3"/>
  <c r="F31" i="2" s="1"/>
  <c r="F30" i="2"/>
  <c r="O27" i="3"/>
  <c r="L31" i="2" s="1"/>
  <c r="L30" i="2"/>
  <c r="AG3" i="3"/>
  <c r="AD7" i="2" s="1"/>
  <c r="AC47" i="2"/>
  <c r="AC5" i="1"/>
  <c r="AG5" i="1"/>
  <c r="AG47" i="2"/>
  <c r="AD26" i="3"/>
  <c r="AA6" i="2"/>
  <c r="AG14" i="5"/>
  <c r="AM4" i="5"/>
  <c r="AD51" i="2"/>
  <c r="F27" i="3"/>
  <c r="C31" i="2" s="1"/>
  <c r="C30" i="2"/>
  <c r="AJ26" i="3"/>
  <c r="AG6" i="2"/>
  <c r="Z61" i="2"/>
  <c r="Z6" i="1"/>
  <c r="AL15" i="3"/>
  <c r="AI19" i="2" s="1"/>
  <c r="AL24" i="3"/>
  <c r="AI28" i="2" s="1"/>
  <c r="AL20" i="3"/>
  <c r="AI24" i="2" s="1"/>
  <c r="AM6" i="4"/>
  <c r="AJ39" i="2" s="1"/>
  <c r="AD39" i="2"/>
  <c r="AB5" i="1"/>
  <c r="AB47" i="2"/>
  <c r="AG4" i="3"/>
  <c r="AD8" i="2" s="1"/>
  <c r="AM28" i="3"/>
  <c r="AJ32" i="2" s="1"/>
  <c r="AD32" i="2"/>
  <c r="H27" i="3"/>
  <c r="E31" i="2" s="1"/>
  <c r="E30" i="2"/>
  <c r="AM8" i="4"/>
  <c r="AJ41" i="2" s="1"/>
  <c r="AD41" i="2"/>
  <c r="AG11" i="3"/>
  <c r="AD17" i="2" s="1"/>
  <c r="T30" i="2"/>
  <c r="W27" i="3"/>
  <c r="T31" i="2" s="1"/>
  <c r="AL16" i="3"/>
  <c r="AI20" i="2" s="1"/>
  <c r="Y27" i="3"/>
  <c r="V31" i="2" s="1"/>
  <c r="V30" i="2"/>
  <c r="AI67" i="2"/>
  <c r="AM6" i="6"/>
  <c r="AJ67" i="2" s="1"/>
  <c r="AM21" i="3"/>
  <c r="AJ25" i="2" s="1"/>
  <c r="AL17" i="3"/>
  <c r="AI21" i="2" s="1"/>
  <c r="AM7" i="5"/>
  <c r="AJ54" i="2" s="1"/>
  <c r="AD54" i="2"/>
  <c r="AL3" i="3"/>
  <c r="AI7" i="2" s="1"/>
  <c r="AL14" i="4"/>
  <c r="AI37" i="2"/>
  <c r="AM9" i="5"/>
  <c r="AJ56" i="2" s="1"/>
  <c r="AD56" i="2"/>
  <c r="AH61" i="2"/>
  <c r="AH6" i="1"/>
  <c r="J27" i="3"/>
  <c r="G31" i="2" s="1"/>
  <c r="G30" i="2"/>
  <c r="AE71" i="2"/>
  <c r="AE7" i="1"/>
  <c r="R27" i="3"/>
  <c r="O31" i="2" s="1"/>
  <c r="O30" i="2"/>
  <c r="AG9" i="3"/>
  <c r="AD15" i="2" s="1"/>
  <c r="AG10" i="3"/>
  <c r="AD16" i="2" s="1"/>
  <c r="AM10" i="5"/>
  <c r="AJ57" i="2" s="1"/>
  <c r="AD57" i="2"/>
  <c r="U27" i="3"/>
  <c r="R31" i="2" s="1"/>
  <c r="R30" i="2"/>
  <c r="AA71" i="2"/>
  <c r="AA7" i="1"/>
  <c r="AH71" i="2"/>
  <c r="AH7" i="1"/>
  <c r="AI26" i="3"/>
  <c r="AF6" i="2"/>
  <c r="AL10" i="6"/>
  <c r="AI65" i="2"/>
  <c r="AC6" i="1"/>
  <c r="AC61" i="2"/>
  <c r="AL9" i="3"/>
  <c r="AI15" i="2" s="1"/>
  <c r="AE61" i="2"/>
  <c r="AE6" i="1"/>
  <c r="AL8" i="3"/>
  <c r="AI13" i="2" s="1"/>
  <c r="AL14" i="5"/>
  <c r="AI51" i="2"/>
  <c r="G11" i="6"/>
  <c r="C72" i="2"/>
  <c r="P27" i="3"/>
  <c r="M31" i="2" s="1"/>
  <c r="M30" i="2"/>
  <c r="T27" i="3"/>
  <c r="Q31" i="2" s="1"/>
  <c r="Q30" i="2"/>
  <c r="AM4" i="6"/>
  <c r="AG10" i="6"/>
  <c r="AD65" i="2"/>
  <c r="AF47" i="2"/>
  <c r="AF5" i="1"/>
  <c r="AM12" i="5"/>
  <c r="AJ59" i="2" s="1"/>
  <c r="AD59" i="2"/>
  <c r="AL12" i="3"/>
  <c r="AI14" i="2" s="1"/>
  <c r="AG14" i="4"/>
  <c r="AM4" i="4"/>
  <c r="AD37" i="2"/>
  <c r="J30" i="2"/>
  <c r="M27" i="3"/>
  <c r="J31" i="2" s="1"/>
  <c r="AB61" i="2"/>
  <c r="AB6" i="1"/>
  <c r="V27" i="3"/>
  <c r="S31" i="2" s="1"/>
  <c r="S30" i="2"/>
  <c r="G27" i="3"/>
  <c r="D31" i="2" s="1"/>
  <c r="D30" i="2"/>
  <c r="AB27" i="3"/>
  <c r="Y31" i="2" s="1"/>
  <c r="Y30" i="2"/>
  <c r="Z7" i="1"/>
  <c r="Z71" i="2"/>
  <c r="F15" i="5"/>
  <c r="B62" i="2"/>
  <c r="AH26" i="3"/>
  <c r="AL10" i="3"/>
  <c r="AI16" i="2" s="1"/>
  <c r="AM5" i="4"/>
  <c r="AJ38" i="2" s="1"/>
  <c r="AG22" i="3"/>
  <c r="AD26" i="2" s="1"/>
  <c r="AL4" i="3"/>
  <c r="AI8" i="2" s="1"/>
  <c r="K27" i="3"/>
  <c r="H31" i="2" s="1"/>
  <c r="H30" i="2"/>
  <c r="AM9" i="6"/>
  <c r="AJ70" i="2" s="1"/>
  <c r="AD70" i="2"/>
  <c r="AL22" i="3"/>
  <c r="AI26" i="2" s="1"/>
  <c r="AH5" i="1"/>
  <c r="AH47" i="2"/>
  <c r="AK26" i="3"/>
  <c r="AH6" i="2"/>
  <c r="AL7" i="3"/>
  <c r="AI12" i="2" s="1"/>
  <c r="AL2" i="3"/>
  <c r="AG7" i="3"/>
  <c r="AD12" i="2" s="1"/>
  <c r="X27" i="3"/>
  <c r="U31" i="2" s="1"/>
  <c r="U30" i="2"/>
  <c r="AE26" i="3"/>
  <c r="AB6" i="2"/>
  <c r="AG2" i="3"/>
  <c r="AC26" i="3"/>
  <c r="Z6" i="2"/>
  <c r="Z27" i="3"/>
  <c r="W31" i="2" s="1"/>
  <c r="W30" i="2"/>
  <c r="AL11" i="3"/>
  <c r="AI17" i="2" s="1"/>
  <c r="AE47" i="2"/>
  <c r="AE5" i="1"/>
  <c r="AC71" i="2"/>
  <c r="AC7" i="1"/>
  <c r="AM6" i="5"/>
  <c r="AJ53" i="2" s="1"/>
  <c r="AD53" i="2"/>
  <c r="AG24" i="3"/>
  <c r="AD28" i="2" s="1"/>
  <c r="AF71" i="2"/>
  <c r="AF7" i="1"/>
  <c r="N27" i="3"/>
  <c r="K31" i="2" s="1"/>
  <c r="K30" i="2"/>
  <c r="AM19" i="3"/>
  <c r="AJ23" i="2" s="1"/>
  <c r="F15" i="4"/>
  <c r="B48" i="2"/>
  <c r="X30" i="2"/>
  <c r="AA27" i="3"/>
  <c r="X31" i="2" s="1"/>
  <c r="AF26" i="3"/>
  <c r="AC6" i="2"/>
  <c r="AI42" i="2"/>
  <c r="AM9" i="4"/>
  <c r="AJ42" i="2" s="1"/>
  <c r="AM23" i="3"/>
  <c r="AJ27" i="2" s="1"/>
  <c r="AM14" i="3" l="1"/>
  <c r="AJ18" i="2" s="1"/>
  <c r="AM25" i="3"/>
  <c r="AJ29" i="2" s="1"/>
  <c r="AM18" i="3"/>
  <c r="AJ22" i="2" s="1"/>
  <c r="Q29" i="3"/>
  <c r="N33" i="2" s="1"/>
  <c r="N74" i="2" s="1"/>
  <c r="AM13" i="3"/>
  <c r="AJ11" i="2" s="1"/>
  <c r="B33" i="2"/>
  <c r="B74" i="2" s="1"/>
  <c r="B75" i="2" s="1"/>
  <c r="B4" i="1"/>
  <c r="B8" i="1" s="1"/>
  <c r="B9" i="1" s="1"/>
  <c r="N29" i="3"/>
  <c r="K33" i="2" s="1"/>
  <c r="K74" i="2" s="1"/>
  <c r="AM5" i="3"/>
  <c r="AJ9" i="2" s="1"/>
  <c r="T29" i="3"/>
  <c r="Q4" i="1" s="1"/>
  <c r="Q8" i="1" s="1"/>
  <c r="AM12" i="3"/>
  <c r="AJ14" i="2" s="1"/>
  <c r="I29" i="3"/>
  <c r="F33" i="2" s="1"/>
  <c r="F74" i="2" s="1"/>
  <c r="AA29" i="3"/>
  <c r="X33" i="2" s="1"/>
  <c r="X74" i="2" s="1"/>
  <c r="H29" i="3"/>
  <c r="E33" i="2" s="1"/>
  <c r="E74" i="2" s="1"/>
  <c r="X29" i="3"/>
  <c r="U4" i="1" s="1"/>
  <c r="U8" i="1" s="1"/>
  <c r="K29" i="3"/>
  <c r="H4" i="1" s="1"/>
  <c r="H8" i="1" s="1"/>
  <c r="W29" i="3"/>
  <c r="T4" i="1" s="1"/>
  <c r="T8" i="1" s="1"/>
  <c r="Z29" i="3"/>
  <c r="W33" i="2" s="1"/>
  <c r="W74" i="2" s="1"/>
  <c r="F29" i="3"/>
  <c r="C33" i="2" s="1"/>
  <c r="C74" i="2" s="1"/>
  <c r="J29" i="3"/>
  <c r="G33" i="2" s="1"/>
  <c r="G74" i="2" s="1"/>
  <c r="AL26" i="3"/>
  <c r="AI6" i="2"/>
  <c r="AB29" i="3"/>
  <c r="AM17" i="3"/>
  <c r="AJ21" i="2" s="1"/>
  <c r="AM3" i="3"/>
  <c r="AJ7" i="2" s="1"/>
  <c r="AM20" i="3"/>
  <c r="AJ24" i="2" s="1"/>
  <c r="AM7" i="3"/>
  <c r="AJ12" i="2" s="1"/>
  <c r="AF27" i="3"/>
  <c r="AC31" i="2" s="1"/>
  <c r="AC30" i="2"/>
  <c r="M29" i="3"/>
  <c r="AD47" i="2"/>
  <c r="AD5" i="1"/>
  <c r="P29" i="3"/>
  <c r="AM14" i="4"/>
  <c r="AJ37" i="2"/>
  <c r="AM22" i="3"/>
  <c r="AJ26" i="2" s="1"/>
  <c r="AI71" i="2"/>
  <c r="AI7" i="1"/>
  <c r="AM10" i="3"/>
  <c r="AJ16" i="2" s="1"/>
  <c r="Y29" i="3"/>
  <c r="O29" i="3"/>
  <c r="AK27" i="3"/>
  <c r="AH31" i="2" s="1"/>
  <c r="AH30" i="2"/>
  <c r="AM16" i="3"/>
  <c r="AJ20" i="2" s="1"/>
  <c r="Z30" i="2"/>
  <c r="AC27" i="3"/>
  <c r="Z31" i="2" s="1"/>
  <c r="G29" i="3"/>
  <c r="H11" i="6"/>
  <c r="AC11" i="6"/>
  <c r="Z72" i="2" s="1"/>
  <c r="D72" i="2"/>
  <c r="AI27" i="3"/>
  <c r="AF31" i="2" s="1"/>
  <c r="AF30" i="2"/>
  <c r="AM9" i="3"/>
  <c r="AJ15" i="2" s="1"/>
  <c r="AM14" i="5"/>
  <c r="AJ51" i="2"/>
  <c r="L29" i="3"/>
  <c r="AG26" i="3"/>
  <c r="AM2" i="3"/>
  <c r="AD6" i="2"/>
  <c r="AI47" i="2"/>
  <c r="AI5" i="1"/>
  <c r="AD61" i="2"/>
  <c r="AD6" i="1"/>
  <c r="AM24" i="3"/>
  <c r="AJ28" i="2" s="1"/>
  <c r="B34" i="2"/>
  <c r="AI61" i="2"/>
  <c r="AI6" i="1"/>
  <c r="AH27" i="3"/>
  <c r="AE31" i="2" s="1"/>
  <c r="AE30" i="2"/>
  <c r="AE27" i="3"/>
  <c r="AB31" i="2" s="1"/>
  <c r="AB30" i="2"/>
  <c r="V29" i="3"/>
  <c r="AM4" i="3"/>
  <c r="AJ8" i="2" s="1"/>
  <c r="AM15" i="3"/>
  <c r="AJ19" i="2" s="1"/>
  <c r="AD27" i="3"/>
  <c r="AA31" i="2" s="1"/>
  <c r="AA30" i="2"/>
  <c r="AM6" i="3"/>
  <c r="AJ10" i="2" s="1"/>
  <c r="G15" i="4"/>
  <c r="C48" i="2"/>
  <c r="G15" i="5"/>
  <c r="C62" i="2"/>
  <c r="R29" i="3"/>
  <c r="AD71" i="2"/>
  <c r="AD7" i="1"/>
  <c r="AM11" i="3"/>
  <c r="AJ17" i="2" s="1"/>
  <c r="AM8" i="3"/>
  <c r="AJ13" i="2" s="1"/>
  <c r="AM10" i="6"/>
  <c r="AJ65" i="2"/>
  <c r="U29" i="3"/>
  <c r="AJ27" i="3"/>
  <c r="AG31" i="2" s="1"/>
  <c r="AG30" i="2"/>
  <c r="S29" i="3"/>
  <c r="N4" i="1" l="1"/>
  <c r="N8" i="1" s="1"/>
  <c r="C75" i="2"/>
  <c r="K4" i="1"/>
  <c r="K8" i="1" s="1"/>
  <c r="H33" i="2"/>
  <c r="H74" i="2" s="1"/>
  <c r="Q33" i="2"/>
  <c r="Q74" i="2" s="1"/>
  <c r="E4" i="1"/>
  <c r="E8" i="1" s="1"/>
  <c r="G4" i="1"/>
  <c r="G8" i="1" s="1"/>
  <c r="F4" i="1"/>
  <c r="F8" i="1" s="1"/>
  <c r="AE29" i="3"/>
  <c r="AB33" i="2" s="1"/>
  <c r="AB74" i="2" s="1"/>
  <c r="W4" i="1"/>
  <c r="W8" i="1" s="1"/>
  <c r="X4" i="1"/>
  <c r="X8" i="1" s="1"/>
  <c r="T33" i="2"/>
  <c r="T74" i="2" s="1"/>
  <c r="U33" i="2"/>
  <c r="U74" i="2" s="1"/>
  <c r="C4" i="1"/>
  <c r="C8" i="1" s="1"/>
  <c r="C9" i="1" s="1"/>
  <c r="F30" i="3"/>
  <c r="G30" i="3" s="1"/>
  <c r="AD29" i="3"/>
  <c r="AA33" i="2" s="1"/>
  <c r="AA74" i="2" s="1"/>
  <c r="AF29" i="3"/>
  <c r="AC33" i="2" s="1"/>
  <c r="AC74" i="2" s="1"/>
  <c r="AJ29" i="3"/>
  <c r="AG33" i="2" s="1"/>
  <c r="AG74" i="2" s="1"/>
  <c r="AI29" i="3"/>
  <c r="AF4" i="1" s="1"/>
  <c r="AF8" i="1" s="1"/>
  <c r="H15" i="4"/>
  <c r="AC15" i="4"/>
  <c r="Z48" i="2" s="1"/>
  <c r="D48" i="2"/>
  <c r="M33" i="2"/>
  <c r="M74" i="2" s="1"/>
  <c r="M4" i="1"/>
  <c r="M8" i="1" s="1"/>
  <c r="AH29" i="3"/>
  <c r="I11" i="6"/>
  <c r="E72" i="2"/>
  <c r="V4" i="1"/>
  <c r="V8" i="1" s="1"/>
  <c r="V33" i="2"/>
  <c r="V74" i="2" s="1"/>
  <c r="D33" i="2"/>
  <c r="D74" i="2" s="1"/>
  <c r="D4" i="1"/>
  <c r="D8" i="1" s="1"/>
  <c r="J33" i="2"/>
  <c r="J74" i="2" s="1"/>
  <c r="J4" i="1"/>
  <c r="J8" i="1" s="1"/>
  <c r="AM26" i="3"/>
  <c r="AJ6" i="2"/>
  <c r="I33" i="2"/>
  <c r="I74" i="2" s="1"/>
  <c r="I4" i="1"/>
  <c r="I8" i="1" s="1"/>
  <c r="AC29" i="3"/>
  <c r="Y33" i="2"/>
  <c r="Y74" i="2" s="1"/>
  <c r="Y4" i="1"/>
  <c r="Y8" i="1" s="1"/>
  <c r="O4" i="1"/>
  <c r="O8" i="1" s="1"/>
  <c r="O33" i="2"/>
  <c r="O74" i="2" s="1"/>
  <c r="AJ61" i="2"/>
  <c r="AJ6" i="1"/>
  <c r="AL27" i="3"/>
  <c r="AI31" i="2" s="1"/>
  <c r="AI30" i="2"/>
  <c r="AJ71" i="2"/>
  <c r="AJ7" i="1"/>
  <c r="AG27" i="3"/>
  <c r="AD31" i="2" s="1"/>
  <c r="AD30" i="2"/>
  <c r="P33" i="2"/>
  <c r="P74" i="2" s="1"/>
  <c r="P4" i="1"/>
  <c r="P8" i="1" s="1"/>
  <c r="L33" i="2"/>
  <c r="L74" i="2" s="1"/>
  <c r="L4" i="1"/>
  <c r="L8" i="1" s="1"/>
  <c r="H15" i="5"/>
  <c r="AC15" i="5"/>
  <c r="Z62" i="2" s="1"/>
  <c r="D62" i="2"/>
  <c r="S33" i="2"/>
  <c r="S74" i="2" s="1"/>
  <c r="S4" i="1"/>
  <c r="S8" i="1" s="1"/>
  <c r="R33" i="2"/>
  <c r="R74" i="2" s="1"/>
  <c r="R4" i="1"/>
  <c r="R8" i="1" s="1"/>
  <c r="AK29" i="3"/>
  <c r="AJ47" i="2"/>
  <c r="AJ5" i="1"/>
  <c r="D75" i="2" l="1"/>
  <c r="Z75" i="2" s="1"/>
  <c r="D9" i="1"/>
  <c r="AC4" i="1"/>
  <c r="AC8" i="1" s="1"/>
  <c r="AB4" i="1"/>
  <c r="AB8" i="1" s="1"/>
  <c r="AG4" i="1"/>
  <c r="AG8" i="1" s="1"/>
  <c r="AF33" i="2"/>
  <c r="AF74" i="2" s="1"/>
  <c r="AL29" i="3"/>
  <c r="AI33" i="2" s="1"/>
  <c r="AI74" i="2" s="1"/>
  <c r="C34" i="2"/>
  <c r="AG29" i="3"/>
  <c r="AD33" i="2" s="1"/>
  <c r="AD74" i="2" s="1"/>
  <c r="AA4" i="1"/>
  <c r="AA8" i="1" s="1"/>
  <c r="Z9" i="1"/>
  <c r="E9" i="1"/>
  <c r="F9" i="1" s="1"/>
  <c r="G9" i="1" s="1"/>
  <c r="I15" i="5"/>
  <c r="E62" i="2"/>
  <c r="AE33" i="2"/>
  <c r="AE74" i="2" s="1"/>
  <c r="AE4" i="1"/>
  <c r="AE8" i="1" s="1"/>
  <c r="Z33" i="2"/>
  <c r="Z74" i="2" s="1"/>
  <c r="Z4" i="1"/>
  <c r="Z8" i="1" s="1"/>
  <c r="J11" i="6"/>
  <c r="F72" i="2"/>
  <c r="H30" i="3"/>
  <c r="AC30" i="3"/>
  <c r="Z34" i="2" s="1"/>
  <c r="D34" i="2"/>
  <c r="AM27" i="3"/>
  <c r="AJ31" i="2" s="1"/>
  <c r="AJ30" i="2"/>
  <c r="I15" i="4"/>
  <c r="E48" i="2"/>
  <c r="AH33" i="2"/>
  <c r="AH74" i="2" s="1"/>
  <c r="AH4" i="1"/>
  <c r="AH8" i="1" s="1"/>
  <c r="E75" i="2" l="1"/>
  <c r="F75" i="2" s="1"/>
  <c r="G75" i="2" s="1"/>
  <c r="AA75" i="2" s="1"/>
  <c r="AI4" i="1"/>
  <c r="AI8" i="1" s="1"/>
  <c r="AD4" i="1"/>
  <c r="AD8" i="1" s="1"/>
  <c r="K11" i="6"/>
  <c r="AD11" i="6"/>
  <c r="AA72" i="2" s="1"/>
  <c r="G72" i="2"/>
  <c r="J15" i="4"/>
  <c r="F48" i="2"/>
  <c r="H9" i="1"/>
  <c r="I9" i="1" s="1"/>
  <c r="J9" i="1" s="1"/>
  <c r="AA9" i="1"/>
  <c r="J15" i="5"/>
  <c r="F62" i="2"/>
  <c r="AM29" i="3"/>
  <c r="H75" i="2"/>
  <c r="I75" i="2" s="1"/>
  <c r="J75" i="2" s="1"/>
  <c r="I30" i="3"/>
  <c r="E34" i="2"/>
  <c r="K15" i="5" l="1"/>
  <c r="AD15" i="5"/>
  <c r="AA62" i="2" s="1"/>
  <c r="G62" i="2"/>
  <c r="AB9" i="1"/>
  <c r="K9" i="1"/>
  <c r="L9" i="1" s="1"/>
  <c r="M9" i="1" s="1"/>
  <c r="K15" i="4"/>
  <c r="AD15" i="4"/>
  <c r="AA48" i="2" s="1"/>
  <c r="G48" i="2"/>
  <c r="J30" i="3"/>
  <c r="F34" i="2"/>
  <c r="K75" i="2"/>
  <c r="L75" i="2" s="1"/>
  <c r="M75" i="2" s="1"/>
  <c r="AB75" i="2"/>
  <c r="AJ4" i="1"/>
  <c r="AJ8" i="1" s="1"/>
  <c r="AJ33" i="2"/>
  <c r="AJ74" i="2" s="1"/>
  <c r="L11" i="6"/>
  <c r="H72" i="2"/>
  <c r="N75" i="2" l="1"/>
  <c r="O75" i="2" s="1"/>
  <c r="P75" i="2" s="1"/>
  <c r="AC75" i="2"/>
  <c r="AD75" i="2" s="1"/>
  <c r="AD30" i="3"/>
  <c r="AA34" i="2" s="1"/>
  <c r="K30" i="3"/>
  <c r="G34" i="2"/>
  <c r="H48" i="2"/>
  <c r="L15" i="4"/>
  <c r="AC9" i="1"/>
  <c r="AD9" i="1" s="1"/>
  <c r="N9" i="1"/>
  <c r="O9" i="1" s="1"/>
  <c r="P9" i="1" s="1"/>
  <c r="M11" i="6"/>
  <c r="I72" i="2"/>
  <c r="L15" i="5"/>
  <c r="H62" i="2"/>
  <c r="M15" i="5" l="1"/>
  <c r="I62" i="2"/>
  <c r="AE11" i="6"/>
  <c r="AB72" i="2" s="1"/>
  <c r="N11" i="6"/>
  <c r="J72" i="2"/>
  <c r="Q9" i="1"/>
  <c r="R9" i="1" s="1"/>
  <c r="S9" i="1" s="1"/>
  <c r="AE9" i="1"/>
  <c r="I48" i="2"/>
  <c r="M15" i="4"/>
  <c r="L30" i="3"/>
  <c r="H34" i="2"/>
  <c r="Q75" i="2"/>
  <c r="R75" i="2" s="1"/>
  <c r="S75" i="2" s="1"/>
  <c r="AE75" i="2"/>
  <c r="M30" i="3" l="1"/>
  <c r="I34" i="2"/>
  <c r="AF75" i="2"/>
  <c r="T75" i="2"/>
  <c r="U75" i="2" s="1"/>
  <c r="V75" i="2" s="1"/>
  <c r="N15" i="4"/>
  <c r="AE15" i="4"/>
  <c r="AB48" i="2" s="1"/>
  <c r="J48" i="2"/>
  <c r="AF9" i="1"/>
  <c r="T9" i="1"/>
  <c r="U9" i="1" s="1"/>
  <c r="V9" i="1" s="1"/>
  <c r="O11" i="6"/>
  <c r="K72" i="2"/>
  <c r="AE15" i="5"/>
  <c r="AB62" i="2" s="1"/>
  <c r="N15" i="5"/>
  <c r="J62" i="2"/>
  <c r="O15" i="5" l="1"/>
  <c r="K62" i="2"/>
  <c r="P11" i="6"/>
  <c r="L72" i="2"/>
  <c r="AG9" i="1"/>
  <c r="W9" i="1"/>
  <c r="X9" i="1" s="1"/>
  <c r="Y9" i="1" s="1"/>
  <c r="W75" i="2"/>
  <c r="X75" i="2" s="1"/>
  <c r="Y75" i="2" s="1"/>
  <c r="AG75" i="2"/>
  <c r="O15" i="4"/>
  <c r="K48" i="2"/>
  <c r="N30" i="3"/>
  <c r="J34" i="2"/>
  <c r="AE30" i="3"/>
  <c r="AB34" i="2" s="1"/>
  <c r="O30" i="3" l="1"/>
  <c r="K34" i="2"/>
  <c r="AJ9" i="1"/>
  <c r="AH9" i="1"/>
  <c r="AI9" i="1" s="1"/>
  <c r="AF11" i="6"/>
  <c r="Q11" i="6"/>
  <c r="M72" i="2"/>
  <c r="AH75" i="2"/>
  <c r="AI75" i="2" s="1"/>
  <c r="AJ75" i="2"/>
  <c r="P15" i="4"/>
  <c r="L48" i="2"/>
  <c r="P15" i="5"/>
  <c r="L62" i="2"/>
  <c r="AF15" i="5" l="1"/>
  <c r="Q15" i="5"/>
  <c r="M62" i="2"/>
  <c r="R11" i="6"/>
  <c r="N72" i="2"/>
  <c r="AF15" i="4"/>
  <c r="Q15" i="4"/>
  <c r="M48" i="2"/>
  <c r="AG11" i="6"/>
  <c r="AD72" i="2" s="1"/>
  <c r="AC72" i="2"/>
  <c r="P30" i="3"/>
  <c r="L34" i="2"/>
  <c r="Q30" i="3" l="1"/>
  <c r="M34" i="2"/>
  <c r="AF30" i="3"/>
  <c r="N48" i="2"/>
  <c r="R15" i="4"/>
  <c r="AG15" i="4"/>
  <c r="AD48" i="2" s="1"/>
  <c r="AC48" i="2"/>
  <c r="S11" i="6"/>
  <c r="O72" i="2"/>
  <c r="R15" i="5"/>
  <c r="N62" i="2"/>
  <c r="AG15" i="5"/>
  <c r="AD62" i="2" s="1"/>
  <c r="AC62" i="2"/>
  <c r="S15" i="5" l="1"/>
  <c r="O62" i="2"/>
  <c r="AC34" i="2"/>
  <c r="AG30" i="3"/>
  <c r="AD34" i="2" s="1"/>
  <c r="AH11" i="6"/>
  <c r="AE72" i="2" s="1"/>
  <c r="T11" i="6"/>
  <c r="P72" i="2"/>
  <c r="S15" i="4"/>
  <c r="O48" i="2"/>
  <c r="R30" i="3"/>
  <c r="N34" i="2"/>
  <c r="AH15" i="4" l="1"/>
  <c r="AE48" i="2" s="1"/>
  <c r="T15" i="4"/>
  <c r="P48" i="2"/>
  <c r="S30" i="3"/>
  <c r="O34" i="2"/>
  <c r="U11" i="6"/>
  <c r="Q72" i="2"/>
  <c r="AH15" i="5"/>
  <c r="AE62" i="2" s="1"/>
  <c r="T15" i="5"/>
  <c r="P62" i="2"/>
  <c r="U15" i="5" l="1"/>
  <c r="Q62" i="2"/>
  <c r="V11" i="6"/>
  <c r="R72" i="2"/>
  <c r="AH30" i="3"/>
  <c r="AE34" i="2" s="1"/>
  <c r="T30" i="3"/>
  <c r="P34" i="2"/>
  <c r="U15" i="4"/>
  <c r="Q48" i="2"/>
  <c r="U30" i="3" l="1"/>
  <c r="Q34" i="2"/>
  <c r="V15" i="4"/>
  <c r="R48" i="2"/>
  <c r="W11" i="6"/>
  <c r="AI11" i="6"/>
  <c r="AF72" i="2" s="1"/>
  <c r="S72" i="2"/>
  <c r="V15" i="5"/>
  <c r="R62" i="2"/>
  <c r="AI15" i="5" l="1"/>
  <c r="AF62" i="2" s="1"/>
  <c r="W15" i="5"/>
  <c r="S62" i="2"/>
  <c r="AI15" i="4"/>
  <c r="AF48" i="2" s="1"/>
  <c r="W15" i="4"/>
  <c r="S48" i="2"/>
  <c r="X11" i="6"/>
  <c r="T72" i="2"/>
  <c r="V30" i="3"/>
  <c r="R34" i="2"/>
  <c r="X15" i="4" l="1"/>
  <c r="T48" i="2"/>
  <c r="AI30" i="3"/>
  <c r="AF34" i="2" s="1"/>
  <c r="W30" i="3"/>
  <c r="S34" i="2"/>
  <c r="X15" i="5"/>
  <c r="T62" i="2"/>
  <c r="Y11" i="6"/>
  <c r="U72" i="2"/>
  <c r="AJ11" i="6" l="1"/>
  <c r="AG72" i="2" s="1"/>
  <c r="Z11" i="6"/>
  <c r="V72" i="2"/>
  <c r="Y15" i="5"/>
  <c r="U62" i="2"/>
  <c r="X30" i="3"/>
  <c r="T34" i="2"/>
  <c r="Y15" i="4"/>
  <c r="U48" i="2"/>
  <c r="AJ15" i="4" l="1"/>
  <c r="AG48" i="2" s="1"/>
  <c r="Z15" i="4"/>
  <c r="V48" i="2"/>
  <c r="Y30" i="3"/>
  <c r="U34" i="2"/>
  <c r="AA11" i="6"/>
  <c r="W72" i="2"/>
  <c r="AJ15" i="5"/>
  <c r="AG62" i="2" s="1"/>
  <c r="Z15" i="5"/>
  <c r="V62" i="2"/>
  <c r="AA15" i="5" l="1"/>
  <c r="W62" i="2"/>
  <c r="AA15" i="4"/>
  <c r="W48" i="2"/>
  <c r="AB11" i="6"/>
  <c r="X72" i="2"/>
  <c r="AJ30" i="3"/>
  <c r="AG34" i="2" s="1"/>
  <c r="Z30" i="3"/>
  <c r="V34" i="2"/>
  <c r="AA30" i="3" l="1"/>
  <c r="W34" i="2"/>
  <c r="AM11" i="6"/>
  <c r="AJ72" i="2" s="1"/>
  <c r="AK11" i="6"/>
  <c r="Y72" i="2"/>
  <c r="AB15" i="4"/>
  <c r="X48" i="2"/>
  <c r="AB15" i="5"/>
  <c r="X62" i="2"/>
  <c r="AM15" i="5" l="1"/>
  <c r="AJ62" i="2" s="1"/>
  <c r="AK15" i="5"/>
  <c r="Y62" i="2"/>
  <c r="AM15" i="4"/>
  <c r="AJ48" i="2" s="1"/>
  <c r="AK15" i="4"/>
  <c r="Y48" i="2"/>
  <c r="AL11" i="6"/>
  <c r="AI72" i="2" s="1"/>
  <c r="AH72" i="2"/>
  <c r="AB30" i="3"/>
  <c r="X34" i="2"/>
  <c r="AM30" i="3" l="1"/>
  <c r="AJ34" i="2" s="1"/>
  <c r="AK30" i="3"/>
  <c r="Y34" i="2"/>
  <c r="AL15" i="4"/>
  <c r="AI48" i="2" s="1"/>
  <c r="AH48" i="2"/>
  <c r="AL15" i="5"/>
  <c r="AI62" i="2" s="1"/>
  <c r="AH62" i="2"/>
  <c r="AH34" i="2" l="1"/>
  <c r="AL30" i="3"/>
  <c r="AI34" i="2" s="1"/>
</calcChain>
</file>

<file path=xl/sharedStrings.xml><?xml version="1.0" encoding="utf-8"?>
<sst xmlns="http://schemas.openxmlformats.org/spreadsheetml/2006/main" count="348" uniqueCount="155">
  <si>
    <t>Category</t>
  </si>
  <si>
    <t>Jan-26</t>
  </si>
  <si>
    <t>Feb-26</t>
  </si>
  <si>
    <t>Mar-26</t>
  </si>
  <si>
    <t>Apr-26</t>
  </si>
  <si>
    <t>May-26</t>
  </si>
  <si>
    <t>Jun-26</t>
  </si>
  <si>
    <t>Jul-26</t>
  </si>
  <si>
    <t>Aug-26</t>
  </si>
  <si>
    <t>Sep-26</t>
  </si>
  <si>
    <t>Oct-26</t>
  </si>
  <si>
    <t>Nov-26</t>
  </si>
  <si>
    <t>Dec-26</t>
  </si>
  <si>
    <t>Jan-27</t>
  </si>
  <si>
    <t>Feb-27</t>
  </si>
  <si>
    <t>Mar-27</t>
  </si>
  <si>
    <t>Apr-27</t>
  </si>
  <si>
    <t>May-27</t>
  </si>
  <si>
    <t>Jun-27</t>
  </si>
  <si>
    <t>Jul-27</t>
  </si>
  <si>
    <t>Aug-27</t>
  </si>
  <si>
    <t>Sep-27</t>
  </si>
  <si>
    <t>Oct-27</t>
  </si>
  <si>
    <t>Nov-27</t>
  </si>
  <si>
    <t>Dec-27</t>
  </si>
  <si>
    <t>Q1 2026</t>
  </si>
  <si>
    <t>Q2 2026</t>
  </si>
  <si>
    <t>Q3 2026</t>
  </si>
  <si>
    <t>Q4 2026</t>
  </si>
  <si>
    <t>2026 Total</t>
  </si>
  <si>
    <t>Q1 2027</t>
  </si>
  <si>
    <t>Q2 2027</t>
  </si>
  <si>
    <t>Q3 2027</t>
  </si>
  <si>
    <t>Q4 2027</t>
  </si>
  <si>
    <t>2027 Total</t>
  </si>
  <si>
    <t>Grand Total</t>
  </si>
  <si>
    <t>Team Expenses</t>
  </si>
  <si>
    <t>Infrastructure &amp; Operating</t>
  </si>
  <si>
    <t>Go-to-Market</t>
  </si>
  <si>
    <t>R&amp;D / Product Development</t>
  </si>
  <si>
    <t>TOTAL EXPENSES</t>
  </si>
  <si>
    <t>Cumulative Total Expenses</t>
  </si>
  <si>
    <t>Category / Line Item</t>
  </si>
  <si>
    <t>TEAM EXPENSES</t>
  </si>
  <si>
    <t>Base Salaries</t>
  </si>
  <si>
    <t>Subtotal: Base Salaries</t>
  </si>
  <si>
    <t>Benefits &amp; Taxes (35%)</t>
  </si>
  <si>
    <t>Recruiting Expenses</t>
  </si>
  <si>
    <t>TOTAL TEAM EXPENSES</t>
  </si>
  <si>
    <t>Cumulative Team Expenses</t>
  </si>
  <si>
    <t>INFRASTRUCTURE &amp; OPERATING</t>
  </si>
  <si>
    <t>TOTAL INFRASTRUCTURE</t>
  </si>
  <si>
    <t>Cumulative Infrastructure</t>
  </si>
  <si>
    <t>GO-TO-MARKET</t>
  </si>
  <si>
    <t>TOTAL GO-TO-MARKET</t>
  </si>
  <si>
    <t>Cumulative Go-to-Market</t>
  </si>
  <si>
    <t>R&amp;D / PRODUCT DEVELOPMENT</t>
  </si>
  <si>
    <t>TOTAL R&amp;D</t>
  </si>
  <si>
    <t>Cumulative R&amp;D</t>
  </si>
  <si>
    <t>TOTAL ALL EXPENSES</t>
  </si>
  <si>
    <t>Cumulative All Expenses</t>
  </si>
  <si>
    <t>Role</t>
  </si>
  <si>
    <t>Annual Salary</t>
  </si>
  <si>
    <t>Start Month</t>
  </si>
  <si>
    <t>Monthly Salary</t>
  </si>
  <si>
    <t>CEO</t>
  </si>
  <si>
    <t>Developer Advocate</t>
  </si>
  <si>
    <t>Customer Success Manager</t>
  </si>
  <si>
    <t>Enterprise Sales Lead</t>
  </si>
  <si>
    <t>Head of Customer Success</t>
  </si>
  <si>
    <t>Senior Sales Rep</t>
  </si>
  <si>
    <t>Product Manager</t>
  </si>
  <si>
    <t>Senior Engineer</t>
  </si>
  <si>
    <t>Marketing Manager</t>
  </si>
  <si>
    <t>Customer Success Rep</t>
  </si>
  <si>
    <t>Part-time CFO</t>
  </si>
  <si>
    <t>Part-time Legal Counsel</t>
  </si>
  <si>
    <t>Technical Advisors (3)</t>
  </si>
  <si>
    <t>Industry Advisors (2)</t>
  </si>
  <si>
    <t/>
  </si>
  <si>
    <t>Benefits &amp; Taxes</t>
  </si>
  <si>
    <t>of base salary</t>
  </si>
  <si>
    <t>per hire</t>
  </si>
  <si>
    <t>Line Item</t>
  </si>
  <si>
    <t>Base Monthly</t>
  </si>
  <si>
    <t>Growth Rate</t>
  </si>
  <si>
    <t>Notes / Assumptions</t>
  </si>
  <si>
    <t>Cloud Infrastructure (AWS/GCP)</t>
  </si>
  <si>
    <t>Scales with user growth and data processing</t>
  </si>
  <si>
    <t>Edge LLM Development Tools</t>
  </si>
  <si>
    <t>Model training and optimization tools</t>
  </si>
  <si>
    <t>Development Tools &amp; Software</t>
  </si>
  <si>
    <t>IDEs, collaboration tools, per-seat licenses</t>
  </si>
  <si>
    <t>Security &amp; Compliance Tools</t>
  </si>
  <si>
    <t>SOC 2, penetration testing, monitoring</t>
  </si>
  <si>
    <t>Data Storage &amp; Processing</t>
  </si>
  <si>
    <t>Database, data warehouse, analytics storage</t>
  </si>
  <si>
    <t>DevOps &amp; Monitoring</t>
  </si>
  <si>
    <t>CI/CD, APM, logging, alerting tools</t>
  </si>
  <si>
    <t>Office Space &amp; Equipment</t>
  </si>
  <si>
    <t>Rent, furniture, equipment for growing team</t>
  </si>
  <si>
    <t>IT &amp; Communications</t>
  </si>
  <si>
    <t>Internet, phones, collaboration software</t>
  </si>
  <si>
    <t>Insurance &amp; Legal</t>
  </si>
  <si>
    <t>D&amp;O insurance, general liability, legal retainer</t>
  </si>
  <si>
    <t>Accounting &amp; Finance</t>
  </si>
  <si>
    <t>Bookkeeping, tax prep, financial systems</t>
  </si>
  <si>
    <t>TOTAL INFRASTRUCTURE &amp; OPERATING</t>
  </si>
  <si>
    <t>Cumulative Infrastructure &amp; Operating</t>
  </si>
  <si>
    <t>Content Marketing &amp; SEO</t>
  </si>
  <si>
    <t>Blog, SEO tools, content creation</t>
  </si>
  <si>
    <t>Paid Advertising (Google, LinkedIn)</t>
  </si>
  <si>
    <t>Scales with customer acquisition goals</t>
  </si>
  <si>
    <t>Marketing Automation Tools</t>
  </si>
  <si>
    <t>Email, CRM, marketing ops platforms</t>
  </si>
  <si>
    <t>Design Partner Program</t>
  </si>
  <si>
    <t>Incentives, support for early adopters</t>
  </si>
  <si>
    <t>Community Building &amp; Events</t>
  </si>
  <si>
    <t>Meetups, conferences, community management</t>
  </si>
  <si>
    <t>Website &amp; Landing Pages</t>
  </si>
  <si>
    <t>Hosting, CMS, optimization tools</t>
  </si>
  <si>
    <t>Sales Tools (CRM, etc)</t>
  </si>
  <si>
    <t>Salesforce, outreach tools, data enrichment</t>
  </si>
  <si>
    <t>Customer Success Tools</t>
  </si>
  <si>
    <t>CS platforms, onboarding, support tools</t>
  </si>
  <si>
    <t>Marketing Contractors/Agencies</t>
  </si>
  <si>
    <t>Specialized marketing support</t>
  </si>
  <si>
    <t>PR &amp; Communications</t>
  </si>
  <si>
    <t>PR agency, media relations, press releases</t>
  </si>
  <si>
    <t>AI/ML Model Training Compute</t>
  </si>
  <si>
    <t>GPU compute for model development and testing</t>
  </si>
  <si>
    <t>Research Tools &amp; Subscriptions</t>
  </si>
  <si>
    <t>Academic journals, research databases, APIs</t>
  </si>
  <si>
    <t>User Research &amp; Testing</t>
  </si>
  <si>
    <t>User interviews, usability testing, research tools</t>
  </si>
  <si>
    <t>Product Analytics Tools</t>
  </si>
  <si>
    <t>Analytics platforms, session replay, heatmaps</t>
  </si>
  <si>
    <t>API &amp; Integration Costs</t>
  </si>
  <si>
    <t>Third-party APIs, integration platform fees</t>
  </si>
  <si>
    <t>Prototyping &amp; Design Tools</t>
  </si>
  <si>
    <t>Design software, prototyping tools, user testing</t>
  </si>
  <si>
    <t>TOTAL R&amp;D / PRODUCT DEVELOPMENT</t>
  </si>
  <si>
    <t>Cumulative R&amp;D / Product Development</t>
  </si>
  <si>
    <t>Sales Rep #1</t>
  </si>
  <si>
    <t>Sales Rep #2</t>
  </si>
  <si>
    <t>Engineer #1</t>
  </si>
  <si>
    <t>Engineer #2</t>
  </si>
  <si>
    <t>Engineer #3</t>
  </si>
  <si>
    <t>Product Lead</t>
  </si>
  <si>
    <t>Outsource Engineering</t>
  </si>
  <si>
    <t>Marketing Lead</t>
  </si>
  <si>
    <t>Customer Success Lead</t>
  </si>
  <si>
    <t>EVOLVE - All Expense Details</t>
  </si>
  <si>
    <t>HELM - 12 Month Expense Model</t>
  </si>
  <si>
    <t>Architect #1 (Dom)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</si>
</sst>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\$#,##0"/>
    <numFmt numFmtId="165" formatCode="0.0%"/>
  </numFmts>
  <fonts count="13" x14ac:knownFonts="1">
    <font>
      <sz val="11"/>
      <color theme="1"/>
      <name val="Calibri"/>
      <family val="2"/>
      <scheme val="minor"/>
    </font>
    <font>
      <b/>
      <sz val="16"/>
      <name val="Calibri"/>
      <family val="2"/>
    </font>
    <font>
      <b/>
      <sz val="11"/>
      <color rgb="FFFFFFFF"/>
      <name val="Calibri"/>
      <family val="2"/>
    </font>
    <font>
      <b/>
      <sz val="11"/>
      <name val="Calibri"/>
      <family val="2"/>
    </font>
    <font>
      <b/>
      <sz val="12"/>
      <name val="Calibri"/>
      <family val="2"/>
    </font>
    <font>
      <b/>
      <i/>
      <sz val="11"/>
      <name val="Calibri"/>
      <family val="2"/>
    </font>
    <font>
      <i/>
      <sz val="11"/>
      <name val="Calibri"/>
      <family val="2"/>
    </font>
    <font>
      <b/>
      <sz val="14"/>
      <name val="Calibri"/>
      <family val="2"/>
    </font>
    <font>
      <b/>
      <sz val="12"/>
      <color rgb="FFFFFFFF"/>
      <name val="Calibri"/>
      <family val="2"/>
    </font>
    <font>
      <b/>
      <sz val="11"/>
      <color rgb="FFFF0000"/>
      <name val="Calibri"/>
      <family val="2"/>
    </font>
    <font>
      <i/>
      <sz val="9"/>
      <name val="Calibri"/>
      <family val="2"/>
    </font>
    <font>
      <sz val="11"/>
      <color rgb="FFFF0000"/>
      <name val="Calibri"/>
      <family val="2"/>
    </font>
    <font>
      <i/>
      <sz val="10"/>
      <name val="Calibri"/>
      <family val="2"/>
    </font>
  </fonts>
  <fills count="18">
    <fill>
      <patternFill patternType="none"/>
    </fill>
    <fill>
      <patternFill patternType="gray125"/>
    </fill>
    <fill>
      <patternFill patternType="solid">
        <fgColor rgb="FF203864"/>
      </patternFill>
    </fill>
    <fill>
      <patternFill patternType="solid">
        <fgColor rgb="FF4472C4"/>
      </patternFill>
    </fill>
    <fill>
      <patternFill patternType="solid">
        <fgColor rgb="FFE7E6E6"/>
      </patternFill>
    </fill>
    <fill>
      <patternFill patternType="solid">
        <fgColor rgb="FFFFEFD5"/>
      </patternFill>
    </fill>
    <fill>
      <patternFill patternType="solid">
        <fgColor rgb="FFFFD700"/>
      </patternFill>
    </fill>
    <fill>
      <patternFill patternType="solid">
        <fgColor rgb="FF70AD47"/>
      </patternFill>
    </fill>
    <fill>
      <patternFill patternType="solid">
        <fgColor rgb="FFD9F2D9"/>
      </patternFill>
    </fill>
    <fill>
      <patternFill patternType="solid">
        <fgColor rgb="FF92D050"/>
      </patternFill>
    </fill>
    <fill>
      <patternFill patternType="solid">
        <fgColor rgb="FFFFC000"/>
      </patternFill>
    </fill>
    <fill>
      <patternFill patternType="solid">
        <fgColor rgb="FFFFD966"/>
      </patternFill>
    </fill>
    <fill>
      <patternFill patternType="solid">
        <fgColor rgb="FF5B9BD5"/>
      </patternFill>
    </fill>
    <fill>
      <patternFill patternType="solid">
        <fgColor rgb="FF9BC2E6"/>
      </patternFill>
    </fill>
    <fill>
      <patternFill patternType="solid">
        <fgColor rgb="FF9966FF"/>
      </patternFill>
    </fill>
    <fill>
      <patternFill patternType="solid">
        <fgColor rgb="FFC299FF"/>
      </patternFill>
    </fill>
    <fill>
      <patternFill patternType="solid">
        <fgColor rgb="FFFFE699"/>
      </patternFill>
    </fill>
    <fill>
      <patternFill patternType="solid">
        <fgColor rgb="FFB4C7E7"/>
      </patternFill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80">
    <xf numFmtId="0" fontId="0" fillId="0" borderId="0" xfId="0"/>
    <xf numFmtId="0" fontId="2" fillId="2" borderId="0" xfId="0" applyFont="1" applyFill="1" applyAlignment="1">
      <alignment horizontal="center"/>
    </xf>
    <xf numFmtId="0" fontId="2" fillId="3" borderId="0" xfId="0" applyFont="1" applyFill="1" applyAlignment="1">
      <alignment horizontal="center" wrapText="1"/>
    </xf>
    <xf numFmtId="0" fontId="3" fillId="0" borderId="0" xfId="0" applyFont="1"/>
    <xf numFmtId="164" fontId="0" fillId="0" borderId="0" xfId="0" applyNumberFormat="1"/>
    <xf numFmtId="0" fontId="4" fillId="0" borderId="0" xfId="0" applyFont="1"/>
    <xf numFmtId="0" fontId="5" fillId="5" borderId="0" xfId="0" applyFont="1" applyFill="1"/>
    <xf numFmtId="164" fontId="6" fillId="5" borderId="0" xfId="0" applyNumberFormat="1" applyFont="1" applyFill="1"/>
    <xf numFmtId="164" fontId="5" fillId="6" borderId="0" xfId="0" applyNumberFormat="1" applyFont="1" applyFill="1"/>
    <xf numFmtId="0" fontId="7" fillId="0" borderId="0" xfId="0" applyFont="1"/>
    <xf numFmtId="164" fontId="3" fillId="8" borderId="0" xfId="0" applyNumberFormat="1" applyFont="1" applyFill="1"/>
    <xf numFmtId="164" fontId="3" fillId="9" borderId="0" xfId="0" applyNumberFormat="1" applyFont="1" applyFill="1"/>
    <xf numFmtId="164" fontId="3" fillId="11" borderId="0" xfId="0" applyNumberFormat="1" applyFont="1" applyFill="1"/>
    <xf numFmtId="164" fontId="3" fillId="13" borderId="0" xfId="0" applyNumberFormat="1" applyFont="1" applyFill="1"/>
    <xf numFmtId="164" fontId="3" fillId="15" borderId="0" xfId="0" applyNumberFormat="1" applyFont="1" applyFill="1"/>
    <xf numFmtId="164" fontId="2" fillId="2" borderId="0" xfId="0" applyNumberFormat="1" applyFont="1" applyFill="1"/>
    <xf numFmtId="0" fontId="2" fillId="7" borderId="0" xfId="0" applyFont="1" applyFill="1" applyAlignment="1">
      <alignment horizontal="center"/>
    </xf>
    <xf numFmtId="164" fontId="3" fillId="16" borderId="0" xfId="0" applyNumberFormat="1" applyFont="1" applyFill="1"/>
    <xf numFmtId="164" fontId="3" fillId="10" borderId="0" xfId="0" applyNumberFormat="1" applyFont="1" applyFill="1"/>
    <xf numFmtId="164" fontId="3" fillId="0" borderId="0" xfId="0" applyNumberFormat="1" applyFont="1"/>
    <xf numFmtId="0" fontId="9" fillId="0" borderId="0" xfId="0" applyFont="1" applyAlignment="1">
      <alignment horizontal="center"/>
    </xf>
    <xf numFmtId="0" fontId="10" fillId="0" borderId="0" xfId="0" applyFont="1"/>
    <xf numFmtId="164" fontId="9" fillId="0" borderId="0" xfId="0" applyNumberFormat="1" applyFont="1"/>
    <xf numFmtId="164" fontId="11" fillId="0" borderId="0" xfId="0" applyNumberFormat="1" applyFont="1"/>
    <xf numFmtId="165" fontId="11" fillId="0" borderId="0" xfId="0" applyNumberFormat="1" applyFont="1"/>
    <xf numFmtId="0" fontId="10" fillId="0" borderId="0" xfId="0" applyFont="1" applyAlignment="1">
      <alignment wrapText="1"/>
    </xf>
    <xf numFmtId="164" fontId="3" fillId="17" borderId="0" xfId="0" applyNumberFormat="1" applyFont="1" applyFill="1"/>
    <xf numFmtId="0" fontId="2" fillId="2" borderId="0" xfId="0" applyFont="1" applyFill="1" applyAlignment="1">
      <alignment vertical="center"/>
    </xf>
    <xf numFmtId="0" fontId="2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 wrapText="1"/>
    </xf>
    <xf numFmtId="0" fontId="0" fillId="0" borderId="0" xfId="0" applyAlignment="1">
      <alignment vertical="center"/>
    </xf>
    <xf numFmtId="0" fontId="3" fillId="0" borderId="0" xfId="0" applyFont="1" applyAlignment="1">
      <alignment vertical="center"/>
    </xf>
    <xf numFmtId="164" fontId="0" fillId="0" borderId="0" xfId="0" applyNumberFormat="1" applyAlignment="1">
      <alignment vertical="center"/>
    </xf>
    <xf numFmtId="0" fontId="4" fillId="0" borderId="0" xfId="0" applyFont="1" applyAlignment="1">
      <alignment vertical="center"/>
    </xf>
    <xf numFmtId="164" fontId="3" fillId="4" borderId="0" xfId="0" applyNumberFormat="1" applyFont="1" applyFill="1" applyAlignment="1">
      <alignment vertical="center"/>
    </xf>
    <xf numFmtId="0" fontId="5" fillId="5" borderId="0" xfId="0" applyFont="1" applyFill="1" applyAlignment="1">
      <alignment vertical="center"/>
    </xf>
    <xf numFmtId="164" fontId="6" fillId="5" borderId="0" xfId="0" applyNumberFormat="1" applyFont="1" applyFill="1" applyAlignment="1">
      <alignment vertical="center"/>
    </xf>
    <xf numFmtId="164" fontId="5" fillId="6" borderId="0" xfId="0" applyNumberFormat="1" applyFont="1" applyFill="1" applyAlignment="1">
      <alignment vertical="center"/>
    </xf>
    <xf numFmtId="0" fontId="0" fillId="0" borderId="1" xfId="0" applyBorder="1"/>
    <xf numFmtId="164" fontId="0" fillId="0" borderId="1" xfId="0" applyNumberFormat="1" applyBorder="1"/>
    <xf numFmtId="164" fontId="3" fillId="16" borderId="1" xfId="0" applyNumberFormat="1" applyFont="1" applyFill="1" applyBorder="1"/>
    <xf numFmtId="164" fontId="3" fillId="10" borderId="1" xfId="0" applyNumberFormat="1" applyFont="1" applyFill="1" applyBorder="1"/>
    <xf numFmtId="0" fontId="0" fillId="0" borderId="2" xfId="0" applyBorder="1"/>
    <xf numFmtId="0" fontId="2" fillId="2" borderId="2" xfId="0" applyFont="1" applyFill="1" applyBorder="1" applyAlignment="1">
      <alignment horizontal="center"/>
    </xf>
    <xf numFmtId="164" fontId="0" fillId="0" borderId="2" xfId="0" applyNumberFormat="1" applyBorder="1"/>
    <xf numFmtId="164" fontId="3" fillId="8" borderId="2" xfId="0" applyNumberFormat="1" applyFont="1" applyFill="1" applyBorder="1"/>
    <xf numFmtId="164" fontId="3" fillId="9" borderId="2" xfId="0" applyNumberFormat="1" applyFont="1" applyFill="1" applyBorder="1"/>
    <xf numFmtId="164" fontId="6" fillId="5" borderId="2" xfId="0" applyNumberFormat="1" applyFont="1" applyFill="1" applyBorder="1"/>
    <xf numFmtId="164" fontId="3" fillId="11" borderId="2" xfId="0" applyNumberFormat="1" applyFont="1" applyFill="1" applyBorder="1"/>
    <xf numFmtId="164" fontId="3" fillId="13" borderId="2" xfId="0" applyNumberFormat="1" applyFont="1" applyFill="1" applyBorder="1"/>
    <xf numFmtId="164" fontId="3" fillId="15" borderId="2" xfId="0" applyNumberFormat="1" applyFont="1" applyFill="1" applyBorder="1"/>
    <xf numFmtId="164" fontId="2" fillId="2" borderId="2" xfId="0" applyNumberFormat="1" applyFont="1" applyFill="1" applyBorder="1"/>
    <xf numFmtId="0" fontId="7" fillId="0" borderId="2" xfId="0" applyFont="1" applyBorder="1"/>
    <xf numFmtId="0" fontId="2" fillId="2" borderId="2" xfId="0" applyFont="1" applyFill="1" applyBorder="1"/>
    <xf numFmtId="0" fontId="4" fillId="7" borderId="2" xfId="0" applyFont="1" applyFill="1" applyBorder="1"/>
    <xf numFmtId="0" fontId="3" fillId="0" borderId="2" xfId="0" applyFont="1" applyBorder="1"/>
    <xf numFmtId="0" fontId="3" fillId="9" borderId="2" xfId="0" applyFont="1" applyFill="1" applyBorder="1"/>
    <xf numFmtId="0" fontId="5" fillId="0" borderId="2" xfId="0" applyFont="1" applyBorder="1"/>
    <xf numFmtId="0" fontId="4" fillId="10" borderId="2" xfId="0" applyFont="1" applyFill="1" applyBorder="1"/>
    <xf numFmtId="0" fontId="3" fillId="11" borderId="2" xfId="0" applyFont="1" applyFill="1" applyBorder="1"/>
    <xf numFmtId="0" fontId="4" fillId="12" borderId="2" xfId="0" applyFont="1" applyFill="1" applyBorder="1"/>
    <xf numFmtId="0" fontId="3" fillId="13" borderId="2" xfId="0" applyFont="1" applyFill="1" applyBorder="1"/>
    <xf numFmtId="0" fontId="4" fillId="14" borderId="2" xfId="0" applyFont="1" applyFill="1" applyBorder="1"/>
    <xf numFmtId="0" fontId="3" fillId="15" borderId="2" xfId="0" applyFont="1" applyFill="1" applyBorder="1"/>
    <xf numFmtId="0" fontId="8" fillId="2" borderId="2" xfId="0" applyFont="1" applyFill="1" applyBorder="1"/>
    <xf numFmtId="0" fontId="5" fillId="5" borderId="2" xfId="0" applyFont="1" applyFill="1" applyBorder="1"/>
    <xf numFmtId="0" fontId="2" fillId="3" borderId="2" xfId="0" applyFont="1" applyFill="1" applyBorder="1" applyAlignment="1">
      <alignment horizontal="center" wrapText="1"/>
    </xf>
    <xf numFmtId="0" fontId="0" fillId="0" borderId="3" xfId="0" applyBorder="1"/>
    <xf numFmtId="0" fontId="2" fillId="3" borderId="3" xfId="0" applyFont="1" applyFill="1" applyBorder="1" applyAlignment="1">
      <alignment horizontal="center" wrapText="1"/>
    </xf>
    <xf numFmtId="164" fontId="0" fillId="0" borderId="3" xfId="0" applyNumberFormat="1" applyBorder="1"/>
    <xf numFmtId="164" fontId="3" fillId="8" borderId="3" xfId="0" applyNumberFormat="1" applyFont="1" applyFill="1" applyBorder="1"/>
    <xf numFmtId="164" fontId="3" fillId="9" borderId="3" xfId="0" applyNumberFormat="1" applyFont="1" applyFill="1" applyBorder="1"/>
    <xf numFmtId="164" fontId="6" fillId="5" borderId="3" xfId="0" applyNumberFormat="1" applyFont="1" applyFill="1" applyBorder="1"/>
    <xf numFmtId="164" fontId="3" fillId="11" borderId="3" xfId="0" applyNumberFormat="1" applyFont="1" applyFill="1" applyBorder="1"/>
    <xf numFmtId="164" fontId="3" fillId="13" borderId="3" xfId="0" applyNumberFormat="1" applyFont="1" applyFill="1" applyBorder="1"/>
    <xf numFmtId="164" fontId="3" fillId="15" borderId="3" xfId="0" applyNumberFormat="1" applyFont="1" applyFill="1" applyBorder="1"/>
    <xf numFmtId="164" fontId="2" fillId="2" borderId="3" xfId="0" applyNumberFormat="1" applyFont="1" applyFill="1" applyBorder="1"/>
    <xf numFmtId="164" fontId="5" fillId="6" borderId="3" xfId="0" applyNumberFormat="1" applyFont="1" applyFill="1" applyBorder="1"/>
    <xf numFmtId="164" fontId="12" fillId="5" borderId="0" xfId="0" applyNumberFormat="1" applyFont="1" applyFill="1" applyAlignment="1">
      <alignment vertical="center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K9"/>
  <sheetViews>
    <sheetView tabSelected="1" zoomScale="171" zoomScaleNormal="171" workbookViewId="0">
      <selection activeCell="B5" sqref="B5:M5"/>
    </sheetView>
  </sheetViews>
  <sheetFormatPr baseColWidth="10" defaultColWidth="8.83203125" defaultRowHeight="15" outlineLevelCol="1" x14ac:dyDescent="0.2"/>
  <cols>
    <col min="1" max="1" width="24.1640625" customWidth="1"/>
    <col min="2" max="5" width="8.33203125" customWidth="1"/>
    <col min="6" max="6" width="9" customWidth="1"/>
    <col min="7" max="7" width="8.83203125" customWidth="1"/>
    <col min="8" max="8" width="9.33203125" customWidth="1"/>
    <col min="9" max="9" width="8.83203125" customWidth="1"/>
    <col min="10" max="11" width="9" customWidth="1"/>
    <col min="12" max="12" width="9.6640625" customWidth="1"/>
    <col min="13" max="13" width="8.83203125" customWidth="1"/>
    <col min="14" max="23" width="11" hidden="1" customWidth="1" outlineLevel="1" collapsed="1"/>
    <col min="24" max="24" width="12.83203125" hidden="1" customWidth="1" outlineLevel="1" collapsed="1"/>
    <col min="25" max="25" width="12.6640625" hidden="1" customWidth="1" outlineLevel="1" collapsed="1"/>
    <col min="26" max="26" width="11" hidden="1" customWidth="1" outlineLevel="1" collapsed="1"/>
    <col min="27" max="29" width="11" hidden="1" customWidth="1" outlineLevel="1"/>
    <col min="30" max="30" width="10.1640625" customWidth="1" collapsed="1"/>
    <col min="31" max="35" width="11" hidden="1" customWidth="1" outlineLevel="1"/>
    <col min="36" max="36" width="0.1640625" hidden="1" customWidth="1" outlineLevel="1"/>
    <col min="37" max="37" width="8.83203125" collapsed="1"/>
  </cols>
  <sheetData>
    <row r="1" spans="1:36" ht="21" x14ac:dyDescent="0.25">
      <c r="A1" s="79" t="s">
        <v>153</v>
      </c>
      <c r="B1" s="79"/>
      <c r="C1" s="79"/>
      <c r="D1" s="79"/>
      <c r="E1" s="79"/>
    </row>
    <row r="3" spans="1:36" s="30" customFormat="1" ht="30" customHeight="1" x14ac:dyDescent="0.2">
      <c r="A3" s="27" t="s">
        <v>0</v>
      </c>
      <c r="B3" s="28" t="s">
        <v>1</v>
      </c>
      <c r="C3" s="28" t="s">
        <v>2</v>
      </c>
      <c r="D3" s="28" t="s">
        <v>3</v>
      </c>
      <c r="E3" s="28" t="s">
        <v>4</v>
      </c>
      <c r="F3" s="28" t="s">
        <v>5</v>
      </c>
      <c r="G3" s="28" t="s">
        <v>6</v>
      </c>
      <c r="H3" s="28" t="s">
        <v>7</v>
      </c>
      <c r="I3" s="28" t="s">
        <v>8</v>
      </c>
      <c r="J3" s="28" t="s">
        <v>9</v>
      </c>
      <c r="K3" s="28" t="s">
        <v>10</v>
      </c>
      <c r="L3" s="28" t="s">
        <v>11</v>
      </c>
      <c r="M3" s="28" t="s">
        <v>12</v>
      </c>
      <c r="N3" s="28" t="s">
        <v>13</v>
      </c>
      <c r="O3" s="28" t="s">
        <v>14</v>
      </c>
      <c r="P3" s="28" t="s">
        <v>15</v>
      </c>
      <c r="Q3" s="28" t="s">
        <v>16</v>
      </c>
      <c r="R3" s="28" t="s">
        <v>17</v>
      </c>
      <c r="S3" s="28" t="s">
        <v>18</v>
      </c>
      <c r="T3" s="28" t="s">
        <v>19</v>
      </c>
      <c r="U3" s="28" t="s">
        <v>20</v>
      </c>
      <c r="V3" s="28" t="s">
        <v>21</v>
      </c>
      <c r="W3" s="28" t="s">
        <v>22</v>
      </c>
      <c r="X3" s="28" t="s">
        <v>23</v>
      </c>
      <c r="Y3" s="28" t="s">
        <v>24</v>
      </c>
      <c r="Z3" s="29" t="s">
        <v>25</v>
      </c>
      <c r="AA3" s="29" t="s">
        <v>26</v>
      </c>
      <c r="AB3" s="29" t="s">
        <v>27</v>
      </c>
      <c r="AC3" s="29" t="s">
        <v>28</v>
      </c>
      <c r="AD3" s="29" t="s">
        <v>29</v>
      </c>
      <c r="AE3" s="29" t="s">
        <v>30</v>
      </c>
      <c r="AF3" s="29" t="s">
        <v>31</v>
      </c>
      <c r="AG3" s="29" t="s">
        <v>32</v>
      </c>
      <c r="AH3" s="29" t="s">
        <v>33</v>
      </c>
      <c r="AI3" s="29" t="s">
        <v>34</v>
      </c>
      <c r="AJ3" s="29" t="s">
        <v>35</v>
      </c>
    </row>
    <row r="4" spans="1:36" s="30" customFormat="1" ht="30" customHeight="1" x14ac:dyDescent="0.2">
      <c r="A4" s="31" t="s">
        <v>36</v>
      </c>
      <c r="B4" s="32">
        <f>'Headcount Detail'!E29</f>
        <v>61062.5</v>
      </c>
      <c r="C4" s="32">
        <f>'Headcount Detail'!F29</f>
        <v>67937.5</v>
      </c>
      <c r="D4" s="32">
        <f>'Headcount Detail'!G29</f>
        <v>251937.5</v>
      </c>
      <c r="E4" s="32">
        <f>'Headcount Detail'!H29</f>
        <v>201937.5</v>
      </c>
      <c r="F4" s="32">
        <f>'Headcount Detail'!I29</f>
        <v>232187.5</v>
      </c>
      <c r="G4" s="32">
        <f>'Headcount Detail'!J29</f>
        <v>222187.5</v>
      </c>
      <c r="H4" s="32">
        <f>'Headcount Detail'!K29</f>
        <v>249062.5</v>
      </c>
      <c r="I4" s="32">
        <f>'Headcount Detail'!L29</f>
        <v>239062.5</v>
      </c>
      <c r="J4" s="32">
        <f>'Headcount Detail'!M29</f>
        <v>239062.5</v>
      </c>
      <c r="K4" s="32">
        <f>'Headcount Detail'!N29</f>
        <v>239062.5</v>
      </c>
      <c r="L4" s="32">
        <f>'Headcount Detail'!O29</f>
        <v>239062.5</v>
      </c>
      <c r="M4" s="32">
        <f>'Headcount Detail'!P29</f>
        <v>239062.5</v>
      </c>
      <c r="N4" s="32">
        <f>'Headcount Detail'!Q29</f>
        <v>239062.5</v>
      </c>
      <c r="O4" s="32">
        <f>'Headcount Detail'!R29</f>
        <v>239062.5</v>
      </c>
      <c r="P4" s="32">
        <f>'Headcount Detail'!S29</f>
        <v>239062.5</v>
      </c>
      <c r="Q4" s="32">
        <f>'Headcount Detail'!T29</f>
        <v>239062.5</v>
      </c>
      <c r="R4" s="32">
        <f>'Headcount Detail'!U29</f>
        <v>239062.5</v>
      </c>
      <c r="S4" s="32">
        <f>'Headcount Detail'!V29</f>
        <v>239062.5</v>
      </c>
      <c r="T4" s="32">
        <f>'Headcount Detail'!W29</f>
        <v>239062.5</v>
      </c>
      <c r="U4" s="32">
        <f>'Headcount Detail'!X29</f>
        <v>239062.5</v>
      </c>
      <c r="V4" s="32">
        <f>'Headcount Detail'!Y29</f>
        <v>239062.5</v>
      </c>
      <c r="W4" s="32">
        <f>'Headcount Detail'!Z29</f>
        <v>239062.5</v>
      </c>
      <c r="X4" s="32">
        <f>'Headcount Detail'!AA29</f>
        <v>239062.5</v>
      </c>
      <c r="Y4" s="32">
        <f>'Headcount Detail'!AB29</f>
        <v>239062.5</v>
      </c>
      <c r="Z4" s="32">
        <f>'Headcount Detail'!AC29</f>
        <v>380937.5</v>
      </c>
      <c r="AA4" s="32">
        <f>'Headcount Detail'!AD29</f>
        <v>656312.5</v>
      </c>
      <c r="AB4" s="32">
        <f>'Headcount Detail'!AE29</f>
        <v>727187.5</v>
      </c>
      <c r="AC4" s="32">
        <f>'Headcount Detail'!AF29</f>
        <v>717187.5</v>
      </c>
      <c r="AD4" s="32">
        <f>'Headcount Detail'!AG29</f>
        <v>2481625</v>
      </c>
      <c r="AE4" s="32">
        <f>'Headcount Detail'!AH29</f>
        <v>717187.5</v>
      </c>
      <c r="AF4" s="32">
        <f>'Headcount Detail'!AI29</f>
        <v>717187.5</v>
      </c>
      <c r="AG4" s="32">
        <f>'Headcount Detail'!AJ29</f>
        <v>717187.5</v>
      </c>
      <c r="AH4" s="32">
        <f>'Headcount Detail'!AK29</f>
        <v>717187.5</v>
      </c>
      <c r="AI4" s="32">
        <f>'Headcount Detail'!AL29</f>
        <v>2868750</v>
      </c>
      <c r="AJ4" s="32">
        <f>'Headcount Detail'!AM29</f>
        <v>5350375</v>
      </c>
    </row>
    <row r="5" spans="1:36" s="30" customFormat="1" ht="30" customHeight="1" x14ac:dyDescent="0.2">
      <c r="A5" s="31" t="s">
        <v>37</v>
      </c>
      <c r="B5" s="32">
        <f>'Infrastructure Detail'!E14</f>
        <v>8500</v>
      </c>
      <c r="C5" s="32">
        <f>'Infrastructure Detail'!F14</f>
        <v>9125</v>
      </c>
      <c r="D5" s="32">
        <f>'Infrastructure Detail'!G14</f>
        <v>9804.75</v>
      </c>
      <c r="E5" s="32">
        <f>'Infrastructure Detail'!H14</f>
        <v>10544.442500000001</v>
      </c>
      <c r="F5" s="32">
        <f>'Infrastructure Detail'!I14</f>
        <v>11349.778275000002</v>
      </c>
      <c r="G5" s="32">
        <f>'Infrastructure Detail'!J14</f>
        <v>12227.016748250004</v>
      </c>
      <c r="H5" s="32">
        <f>'Infrastructure Detail'!K14</f>
        <v>13183.031381947505</v>
      </c>
      <c r="I5" s="32">
        <f>'Infrastructure Detail'!L14</f>
        <v>14225.370586218432</v>
      </c>
      <c r="J5" s="32">
        <f>'Infrastructure Detail'!M14</f>
        <v>15362.324697258107</v>
      </c>
      <c r="K5" s="32">
        <f>'Infrastructure Detail'!N14</f>
        <v>16602.999630551632</v>
      </c>
      <c r="L5" s="32">
        <f>'Infrastructure Detail'!O14</f>
        <v>17957.397875637755</v>
      </c>
      <c r="M5" s="32">
        <f>'Infrastructure Detail'!P14</f>
        <v>19436.507565477441</v>
      </c>
      <c r="N5" s="32">
        <f>'Infrastructure Detail'!Q14</f>
        <v>21052.400426742588</v>
      </c>
      <c r="O5" s="32">
        <f>'Infrastructure Detail'!R14</f>
        <v>22818.339497917659</v>
      </c>
      <c r="P5" s="32">
        <f>'Infrastructure Detail'!S14</f>
        <v>24748.897590739245</v>
      </c>
      <c r="Q5" s="32">
        <f>'Infrastructure Detail'!T14</f>
        <v>26860.087567991552</v>
      </c>
      <c r="R5" s="32">
        <f>'Infrastructure Detail'!U14</f>
        <v>29169.505617915009</v>
      </c>
      <c r="S5" s="32">
        <f>'Infrastructure Detail'!V14</f>
        <v>31696.488823445128</v>
      </c>
      <c r="T5" s="32">
        <f>'Infrastructure Detail'!W14</f>
        <v>34462.288454252033</v>
      </c>
      <c r="U5" s="32">
        <f>'Infrastructure Detail'!X14</f>
        <v>37490.260552275708</v>
      </c>
      <c r="V5" s="32">
        <f>'Infrastructure Detail'!Y14</f>
        <v>40806.075538445999</v>
      </c>
      <c r="W5" s="32">
        <f>'Infrastructure Detail'!Z14</f>
        <v>44437.94874096624</v>
      </c>
      <c r="X5" s="32">
        <f>'Infrastructure Detail'!AA14</f>
        <v>48416.893935493623</v>
      </c>
      <c r="Y5" s="32">
        <f>'Infrastructure Detail'!AB14</f>
        <v>52777.002196496265</v>
      </c>
      <c r="Z5" s="32">
        <f>'Infrastructure Detail'!AC14</f>
        <v>27429.75</v>
      </c>
      <c r="AA5" s="32">
        <f>'Infrastructure Detail'!AD14</f>
        <v>34121.237523250005</v>
      </c>
      <c r="AB5" s="32">
        <f>'Infrastructure Detail'!AE14</f>
        <v>42770.726665424037</v>
      </c>
      <c r="AC5" s="32">
        <f>'Infrastructure Detail'!AF14</f>
        <v>53996.905071666828</v>
      </c>
      <c r="AD5" s="32">
        <f>'Infrastructure Detail'!AG14</f>
        <v>158318.61926034087</v>
      </c>
      <c r="AE5" s="32">
        <f>'Infrastructure Detail'!AH14</f>
        <v>68619.637515399503</v>
      </c>
      <c r="AF5" s="32">
        <f>'Infrastructure Detail'!AI14</f>
        <v>87726.082009351681</v>
      </c>
      <c r="AG5" s="32">
        <f>'Infrastructure Detail'!AJ14</f>
        <v>112758.62454497375</v>
      </c>
      <c r="AH5" s="32">
        <f>'Infrastructure Detail'!AK14</f>
        <v>145631.84487295611</v>
      </c>
      <c r="AI5" s="32">
        <f>'Infrastructure Detail'!AL14</f>
        <v>414736.18894268107</v>
      </c>
      <c r="AJ5" s="32">
        <f>'Infrastructure Detail'!AM14</f>
        <v>573054.80820302188</v>
      </c>
    </row>
    <row r="6" spans="1:36" s="30" customFormat="1" ht="30" customHeight="1" x14ac:dyDescent="0.2">
      <c r="A6" s="31" t="s">
        <v>38</v>
      </c>
      <c r="B6" s="32">
        <f>'Go-to-Market Detail'!E14</f>
        <v>24500</v>
      </c>
      <c r="C6" s="32">
        <f>'Go-to-Market Detail'!F14</f>
        <v>26165</v>
      </c>
      <c r="D6" s="32">
        <f>'Go-to-Market Detail'!G14</f>
        <v>28010.65</v>
      </c>
      <c r="E6" s="32">
        <f>'Go-to-Market Detail'!H14</f>
        <v>30058.8485</v>
      </c>
      <c r="F6" s="32">
        <f>'Go-to-Market Detail'!I14</f>
        <v>32334.297384999998</v>
      </c>
      <c r="G6" s="32">
        <f>'Go-to-Market Detail'!J14</f>
        <v>34864.873161650001</v>
      </c>
      <c r="H6" s="32">
        <f>'Go-to-Market Detail'!K14</f>
        <v>37682.048600666501</v>
      </c>
      <c r="I6" s="32">
        <f>'Go-to-Market Detail'!L14</f>
        <v>40821.371766343691</v>
      </c>
      <c r="J6" s="32">
        <f>'Go-to-Market Detail'!M14</f>
        <v>44323.010397087601</v>
      </c>
      <c r="K6" s="32">
        <f>'Go-to-Market Detail'!N14</f>
        <v>48232.37072360819</v>
      </c>
      <c r="L6" s="32">
        <f>'Go-to-Market Detail'!O14</f>
        <v>52600.801094404247</v>
      </c>
      <c r="M6" s="32">
        <f>'Go-to-Market Detail'!P14</f>
        <v>57486.392244590112</v>
      </c>
      <c r="N6" s="32">
        <f>'Go-to-Market Detail'!Q14</f>
        <v>62954.887720422295</v>
      </c>
      <c r="O6" s="32">
        <f>'Go-to-Market Detail'!R14</f>
        <v>69080.719888425912</v>
      </c>
      <c r="P6" s="32">
        <f>'Go-to-Market Detail'!S14</f>
        <v>75948.189149547732</v>
      </c>
      <c r="Q6" s="32">
        <f>'Go-to-Market Detail'!T14</f>
        <v>83652.806485097666</v>
      </c>
      <c r="R6" s="32">
        <f>'Go-to-Market Detail'!U14</f>
        <v>92302.822328010196</v>
      </c>
      <c r="S6" s="32">
        <f>'Go-to-Market Detail'!V14</f>
        <v>102020.96803245434</v>
      </c>
      <c r="T6" s="32">
        <f>'Go-to-Market Detail'!W14</f>
        <v>112946.43996697257</v>
      </c>
      <c r="U6" s="32">
        <f>'Go-to-Market Detail'!X14</f>
        <v>125237.16054982811</v>
      </c>
      <c r="V6" s="32">
        <f>'Go-to-Market Detail'!Y14</f>
        <v>139072.35545882289</v>
      </c>
      <c r="W6" s="32">
        <f>'Go-to-Market Detail'!Z14</f>
        <v>154655.49187178514</v>
      </c>
      <c r="X6" s="32">
        <f>'Go-to-Market Detail'!AA14</f>
        <v>172217.62903169901</v>
      </c>
      <c r="Y6" s="32">
        <f>'Go-to-Market Detail'!AB14</f>
        <v>192021.23980072353</v>
      </c>
      <c r="Z6" s="32">
        <f>'Go-to-Market Detail'!AC14</f>
        <v>78675.649999999994</v>
      </c>
      <c r="AA6" s="32">
        <f>'Go-to-Market Detail'!AD14</f>
        <v>97258.019046650006</v>
      </c>
      <c r="AB6" s="32">
        <f>'Go-to-Market Detail'!AE14</f>
        <v>122826.43076409781</v>
      </c>
      <c r="AC6" s="32">
        <f>'Go-to-Market Detail'!AF14</f>
        <v>158319.56406260253</v>
      </c>
      <c r="AD6" s="32">
        <f>'Go-to-Market Detail'!AG14</f>
        <v>457079.66387335036</v>
      </c>
      <c r="AE6" s="32">
        <f>'Go-to-Market Detail'!AH14</f>
        <v>207983.79675839591</v>
      </c>
      <c r="AF6" s="32">
        <f>'Go-to-Market Detail'!AI14</f>
        <v>277976.59684556222</v>
      </c>
      <c r="AG6" s="32">
        <f>'Go-to-Market Detail'!AJ14</f>
        <v>377255.95597562357</v>
      </c>
      <c r="AH6" s="32">
        <f>'Go-to-Market Detail'!AK14</f>
        <v>518894.36070420773</v>
      </c>
      <c r="AI6" s="32">
        <f>'Go-to-Market Detail'!AL14</f>
        <v>1382110.7102837893</v>
      </c>
      <c r="AJ6" s="32">
        <f>'Go-to-Market Detail'!AM14</f>
        <v>1839190.3741571396</v>
      </c>
    </row>
    <row r="7" spans="1:36" s="30" customFormat="1" ht="30" customHeight="1" x14ac:dyDescent="0.2">
      <c r="A7" s="31" t="s">
        <v>39</v>
      </c>
      <c r="B7" s="32">
        <f>'R&amp;D Detail'!E10</f>
        <v>0</v>
      </c>
      <c r="C7" s="32">
        <f>'R&amp;D Detail'!F10</f>
        <v>0</v>
      </c>
      <c r="D7" s="32">
        <f>'R&amp;D Detail'!G10</f>
        <v>0</v>
      </c>
      <c r="E7" s="32">
        <f>'R&amp;D Detail'!H10</f>
        <v>0</v>
      </c>
      <c r="F7" s="32">
        <f>'R&amp;D Detail'!I10</f>
        <v>0</v>
      </c>
      <c r="G7" s="32">
        <f>'R&amp;D Detail'!J10</f>
        <v>0</v>
      </c>
      <c r="H7" s="32">
        <f>'R&amp;D Detail'!K10</f>
        <v>0</v>
      </c>
      <c r="I7" s="32">
        <f>'R&amp;D Detail'!L10</f>
        <v>0</v>
      </c>
      <c r="J7" s="32">
        <f>'R&amp;D Detail'!M10</f>
        <v>0</v>
      </c>
      <c r="K7" s="32">
        <f>'R&amp;D Detail'!N10</f>
        <v>0</v>
      </c>
      <c r="L7" s="32">
        <f>'R&amp;D Detail'!O10</f>
        <v>0</v>
      </c>
      <c r="M7" s="32">
        <f>'R&amp;D Detail'!P10</f>
        <v>0</v>
      </c>
      <c r="N7" s="32">
        <f>'R&amp;D Detail'!Q10</f>
        <v>0</v>
      </c>
      <c r="O7" s="32">
        <f>'R&amp;D Detail'!R10</f>
        <v>0</v>
      </c>
      <c r="P7" s="32">
        <f>'R&amp;D Detail'!S10</f>
        <v>0</v>
      </c>
      <c r="Q7" s="32">
        <f>'R&amp;D Detail'!T10</f>
        <v>0</v>
      </c>
      <c r="R7" s="32">
        <f>'R&amp;D Detail'!U10</f>
        <v>0</v>
      </c>
      <c r="S7" s="32">
        <f>'R&amp;D Detail'!V10</f>
        <v>0</v>
      </c>
      <c r="T7" s="32">
        <f>'R&amp;D Detail'!W10</f>
        <v>0</v>
      </c>
      <c r="U7" s="32">
        <f>'R&amp;D Detail'!X10</f>
        <v>0</v>
      </c>
      <c r="V7" s="32">
        <f>'R&amp;D Detail'!Y10</f>
        <v>0</v>
      </c>
      <c r="W7" s="32">
        <f>'R&amp;D Detail'!Z10</f>
        <v>0</v>
      </c>
      <c r="X7" s="32">
        <f>'R&amp;D Detail'!AA10</f>
        <v>0</v>
      </c>
      <c r="Y7" s="32">
        <f>'R&amp;D Detail'!AB10</f>
        <v>0</v>
      </c>
      <c r="Z7" s="32">
        <f>'R&amp;D Detail'!AC10</f>
        <v>0</v>
      </c>
      <c r="AA7" s="32">
        <f>'R&amp;D Detail'!AD10</f>
        <v>0</v>
      </c>
      <c r="AB7" s="32">
        <f>'R&amp;D Detail'!AE10</f>
        <v>0</v>
      </c>
      <c r="AC7" s="32">
        <f>'R&amp;D Detail'!AF10</f>
        <v>0</v>
      </c>
      <c r="AD7" s="32">
        <f>'R&amp;D Detail'!AG10</f>
        <v>0</v>
      </c>
      <c r="AE7" s="32">
        <f>'R&amp;D Detail'!AH10</f>
        <v>0</v>
      </c>
      <c r="AF7" s="32">
        <f>'R&amp;D Detail'!AI10</f>
        <v>0</v>
      </c>
      <c r="AG7" s="32">
        <f>'R&amp;D Detail'!AJ10</f>
        <v>0</v>
      </c>
      <c r="AH7" s="32">
        <f>'R&amp;D Detail'!AK10</f>
        <v>0</v>
      </c>
      <c r="AI7" s="32">
        <f>'R&amp;D Detail'!AL10</f>
        <v>0</v>
      </c>
      <c r="AJ7" s="32">
        <f>'R&amp;D Detail'!AM10</f>
        <v>0</v>
      </c>
    </row>
    <row r="8" spans="1:36" s="30" customFormat="1" ht="30" customHeight="1" x14ac:dyDescent="0.2">
      <c r="A8" s="33" t="s">
        <v>40</v>
      </c>
      <c r="B8" s="34">
        <f t="shared" ref="B8:AJ8" si="0">SUM(B4:B7)</f>
        <v>94062.5</v>
      </c>
      <c r="C8" s="34">
        <f t="shared" si="0"/>
        <v>103227.5</v>
      </c>
      <c r="D8" s="34">
        <f t="shared" si="0"/>
        <v>289752.90000000002</v>
      </c>
      <c r="E8" s="34">
        <f t="shared" si="0"/>
        <v>242540.791</v>
      </c>
      <c r="F8" s="34">
        <f t="shared" si="0"/>
        <v>275871.57565999997</v>
      </c>
      <c r="G8" s="34">
        <f t="shared" si="0"/>
        <v>269279.38990990003</v>
      </c>
      <c r="H8" s="34">
        <f t="shared" si="0"/>
        <v>299927.57998261403</v>
      </c>
      <c r="I8" s="34">
        <f t="shared" si="0"/>
        <v>294109.24235256214</v>
      </c>
      <c r="J8" s="34">
        <f t="shared" si="0"/>
        <v>298747.83509434568</v>
      </c>
      <c r="K8" s="34">
        <f t="shared" si="0"/>
        <v>303897.87035415985</v>
      </c>
      <c r="L8" s="34">
        <f t="shared" si="0"/>
        <v>309620.69897004199</v>
      </c>
      <c r="M8" s="34">
        <f t="shared" si="0"/>
        <v>315985.39981006755</v>
      </c>
      <c r="N8" s="34">
        <f t="shared" si="0"/>
        <v>323069.78814716486</v>
      </c>
      <c r="O8" s="34">
        <f t="shared" si="0"/>
        <v>330961.55938634358</v>
      </c>
      <c r="P8" s="34">
        <f t="shared" si="0"/>
        <v>339759.58674028696</v>
      </c>
      <c r="Q8" s="34">
        <f t="shared" si="0"/>
        <v>349575.39405308926</v>
      </c>
      <c r="R8" s="34">
        <f t="shared" si="0"/>
        <v>360534.82794592518</v>
      </c>
      <c r="S8" s="34">
        <f t="shared" si="0"/>
        <v>372779.95685589942</v>
      </c>
      <c r="T8" s="34">
        <f t="shared" si="0"/>
        <v>386471.22842122463</v>
      </c>
      <c r="U8" s="34">
        <f t="shared" si="0"/>
        <v>401789.92110210378</v>
      </c>
      <c r="V8" s="34">
        <f t="shared" si="0"/>
        <v>418940.93099726888</v>
      </c>
      <c r="W8" s="34">
        <f t="shared" si="0"/>
        <v>438155.94061275141</v>
      </c>
      <c r="X8" s="34">
        <f t="shared" si="0"/>
        <v>459697.02296719258</v>
      </c>
      <c r="Y8" s="34">
        <f t="shared" si="0"/>
        <v>483860.74199721974</v>
      </c>
      <c r="Z8" s="34">
        <f t="shared" si="0"/>
        <v>487042.9</v>
      </c>
      <c r="AA8" s="34">
        <f t="shared" si="0"/>
        <v>787691.75656990008</v>
      </c>
      <c r="AB8" s="34">
        <f t="shared" si="0"/>
        <v>892784.6574295219</v>
      </c>
      <c r="AC8" s="34">
        <f t="shared" si="0"/>
        <v>929503.96913426928</v>
      </c>
      <c r="AD8" s="34">
        <f t="shared" si="0"/>
        <v>3097023.2831336912</v>
      </c>
      <c r="AE8" s="34">
        <f t="shared" si="0"/>
        <v>993790.93427379546</v>
      </c>
      <c r="AF8" s="34">
        <f t="shared" si="0"/>
        <v>1082890.1788549139</v>
      </c>
      <c r="AG8" s="34">
        <f t="shared" si="0"/>
        <v>1207202.0805205973</v>
      </c>
      <c r="AH8" s="34">
        <f t="shared" si="0"/>
        <v>1381713.705577164</v>
      </c>
      <c r="AI8" s="34">
        <f t="shared" si="0"/>
        <v>4665596.8992264699</v>
      </c>
      <c r="AJ8" s="34">
        <f t="shared" si="0"/>
        <v>7762620.1823601611</v>
      </c>
    </row>
    <row r="9" spans="1:36" s="30" customFormat="1" ht="30" customHeight="1" x14ac:dyDescent="0.2">
      <c r="A9" s="35" t="s">
        <v>41</v>
      </c>
      <c r="B9" s="78">
        <f>B8</f>
        <v>94062.5</v>
      </c>
      <c r="C9" s="78">
        <f t="shared" ref="C9:Y9" si="1">B9+C8</f>
        <v>197290</v>
      </c>
      <c r="D9" s="78">
        <f t="shared" si="1"/>
        <v>487042.9</v>
      </c>
      <c r="E9" s="78">
        <f t="shared" si="1"/>
        <v>729583.69099999999</v>
      </c>
      <c r="F9" s="78">
        <f t="shared" si="1"/>
        <v>1005455.26666</v>
      </c>
      <c r="G9" s="78">
        <f t="shared" si="1"/>
        <v>1274734.6565699</v>
      </c>
      <c r="H9" s="78">
        <f t="shared" si="1"/>
        <v>1574662.2365525141</v>
      </c>
      <c r="I9" s="78">
        <f t="shared" si="1"/>
        <v>1868771.4789050762</v>
      </c>
      <c r="J9" s="78">
        <f t="shared" si="1"/>
        <v>2167519.3139994219</v>
      </c>
      <c r="K9" s="78">
        <f t="shared" si="1"/>
        <v>2471417.1843535816</v>
      </c>
      <c r="L9" s="78">
        <f t="shared" si="1"/>
        <v>2781037.8833236238</v>
      </c>
      <c r="M9" s="78">
        <f t="shared" si="1"/>
        <v>3097023.2831336912</v>
      </c>
      <c r="N9" s="36">
        <f t="shared" si="1"/>
        <v>3420093.0712808562</v>
      </c>
      <c r="O9" s="36">
        <f t="shared" si="1"/>
        <v>3751054.6306671998</v>
      </c>
      <c r="P9" s="36">
        <f t="shared" si="1"/>
        <v>4090814.2174074869</v>
      </c>
      <c r="Q9" s="36">
        <f t="shared" si="1"/>
        <v>4440389.6114605758</v>
      </c>
      <c r="R9" s="36">
        <f t="shared" si="1"/>
        <v>4800924.4394065011</v>
      </c>
      <c r="S9" s="36">
        <f t="shared" si="1"/>
        <v>5173704.3962624008</v>
      </c>
      <c r="T9" s="36">
        <f t="shared" si="1"/>
        <v>5560175.6246836251</v>
      </c>
      <c r="U9" s="36">
        <f t="shared" si="1"/>
        <v>5961965.5457857288</v>
      </c>
      <c r="V9" s="36">
        <f t="shared" si="1"/>
        <v>6380906.4767829981</v>
      </c>
      <c r="W9" s="36">
        <f t="shared" si="1"/>
        <v>6819062.4173957491</v>
      </c>
      <c r="X9" s="36">
        <f t="shared" si="1"/>
        <v>7278759.4403629415</v>
      </c>
      <c r="Y9" s="36">
        <f t="shared" si="1"/>
        <v>7762620.1823601611</v>
      </c>
      <c r="Z9" s="36">
        <f>D9</f>
        <v>487042.9</v>
      </c>
      <c r="AA9" s="36">
        <f>G9</f>
        <v>1274734.6565699</v>
      </c>
      <c r="AB9" s="36">
        <f>J9</f>
        <v>2167519.3139994219</v>
      </c>
      <c r="AC9" s="36">
        <f>M9</f>
        <v>3097023.2831336912</v>
      </c>
      <c r="AD9" s="37">
        <f>AC9</f>
        <v>3097023.2831336912</v>
      </c>
      <c r="AE9" s="36">
        <f>P9</f>
        <v>4090814.2174074869</v>
      </c>
      <c r="AF9" s="36">
        <f>S9</f>
        <v>5173704.3962624008</v>
      </c>
      <c r="AG9" s="36">
        <f>V9</f>
        <v>6380906.4767829981</v>
      </c>
      <c r="AH9" s="36">
        <f>Y9</f>
        <v>7762620.1823601611</v>
      </c>
      <c r="AI9" s="37">
        <f>AH9</f>
        <v>7762620.1823601611</v>
      </c>
      <c r="AJ9" s="37">
        <f>Y9</f>
        <v>7762620.1823601611</v>
      </c>
    </row>
  </sheetData>
  <mergeCells count="1">
    <mergeCell ref="A1:E1"/>
  </mergeCells>
  <pageMargins left="0.7" right="0.7" top="0.75" bottom="0.75" header="0.3" footer="0.3"/>
  <pageSetup orientation="portrait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K75"/>
  <sheetViews>
    <sheetView zoomScale="130" zoomScaleNormal="130" workbookViewId="0">
      <selection activeCell="E10" sqref="E10"/>
    </sheetView>
  </sheetViews>
  <sheetFormatPr baseColWidth="10" defaultColWidth="8.83203125" defaultRowHeight="15" outlineLevelRow="2" outlineLevelCol="1" x14ac:dyDescent="0.2"/>
  <cols>
    <col min="1" max="1" width="29.83203125" style="42" customWidth="1"/>
    <col min="2" max="5" width="9.33203125" customWidth="1"/>
    <col min="6" max="6" width="9.6640625" customWidth="1"/>
    <col min="7" max="12" width="10" customWidth="1"/>
    <col min="13" max="13" width="10" style="42" customWidth="1"/>
    <col min="14" max="25" width="9.33203125" hidden="1" customWidth="1" outlineLevel="1" collapsed="1"/>
    <col min="26" max="26" width="11" customWidth="1" collapsed="1"/>
    <col min="27" max="28" width="11" customWidth="1"/>
    <col min="29" max="29" width="11" style="42" customWidth="1"/>
    <col min="30" max="30" width="11" style="67" customWidth="1"/>
    <col min="31" max="36" width="11" hidden="1" customWidth="1" outlineLevel="1"/>
    <col min="37" max="37" width="8.83203125" collapsed="1"/>
  </cols>
  <sheetData>
    <row r="1" spans="1:36" ht="19" x14ac:dyDescent="0.25">
      <c r="A1" s="52" t="s">
        <v>152</v>
      </c>
    </row>
    <row r="3" spans="1:36" ht="16" x14ac:dyDescent="0.2">
      <c r="A3" s="53" t="s">
        <v>42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43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2" t="s">
        <v>25</v>
      </c>
      <c r="AA3" s="2" t="s">
        <v>26</v>
      </c>
      <c r="AB3" s="2" t="s">
        <v>27</v>
      </c>
      <c r="AC3" s="66" t="s">
        <v>28</v>
      </c>
      <c r="AD3" s="68" t="s">
        <v>29</v>
      </c>
      <c r="AE3" s="2" t="s">
        <v>30</v>
      </c>
      <c r="AF3" s="2" t="s">
        <v>31</v>
      </c>
      <c r="AG3" s="2" t="s">
        <v>32</v>
      </c>
      <c r="AH3" s="2" t="s">
        <v>33</v>
      </c>
      <c r="AI3" s="2" t="s">
        <v>34</v>
      </c>
      <c r="AJ3" s="2" t="s">
        <v>35</v>
      </c>
    </row>
    <row r="4" spans="1:36" ht="16" x14ac:dyDescent="0.2">
      <c r="A4" s="54" t="s">
        <v>43</v>
      </c>
    </row>
    <row r="5" spans="1:36" outlineLevel="1" collapsed="1" x14ac:dyDescent="0.2">
      <c r="A5" s="55" t="s">
        <v>44</v>
      </c>
    </row>
    <row r="6" spans="1:36" outlineLevel="1" collapsed="1" x14ac:dyDescent="0.2">
      <c r="A6" s="42" t="str">
        <f>"  "&amp;'Headcount Detail'!A2</f>
        <v xml:space="preserve">  CEO</v>
      </c>
      <c r="B6" s="4">
        <f>'Headcount Detail'!E2</f>
        <v>0</v>
      </c>
      <c r="C6" s="4">
        <f>'Headcount Detail'!F2</f>
        <v>0</v>
      </c>
      <c r="D6" s="4">
        <f>'Headcount Detail'!G2</f>
        <v>41666.666666666664</v>
      </c>
      <c r="E6" s="4">
        <f>'Headcount Detail'!H2</f>
        <v>41666.666666666664</v>
      </c>
      <c r="F6" s="4">
        <f>'Headcount Detail'!I2</f>
        <v>41666.666666666664</v>
      </c>
      <c r="G6" s="4">
        <f>'Headcount Detail'!J2</f>
        <v>41666.666666666664</v>
      </c>
      <c r="H6" s="4">
        <f>'Headcount Detail'!K2</f>
        <v>41666.666666666664</v>
      </c>
      <c r="I6" s="4">
        <f>'Headcount Detail'!L2</f>
        <v>41666.666666666664</v>
      </c>
      <c r="J6" s="4">
        <f>'Headcount Detail'!M2</f>
        <v>41666.666666666664</v>
      </c>
      <c r="K6" s="4">
        <f>'Headcount Detail'!N2</f>
        <v>41666.666666666664</v>
      </c>
      <c r="L6" s="4">
        <f>'Headcount Detail'!O2</f>
        <v>41666.666666666664</v>
      </c>
      <c r="M6" s="44">
        <f>'Headcount Detail'!P2</f>
        <v>41666.666666666664</v>
      </c>
      <c r="N6" s="4">
        <f>'Headcount Detail'!Q2</f>
        <v>41666.666666666664</v>
      </c>
      <c r="O6" s="4">
        <f>'Headcount Detail'!R2</f>
        <v>41666.666666666664</v>
      </c>
      <c r="P6" s="4">
        <f>'Headcount Detail'!S2</f>
        <v>41666.666666666664</v>
      </c>
      <c r="Q6" s="4">
        <f>'Headcount Detail'!T2</f>
        <v>41666.666666666664</v>
      </c>
      <c r="R6" s="4">
        <f>'Headcount Detail'!U2</f>
        <v>41666.666666666664</v>
      </c>
      <c r="S6" s="4">
        <f>'Headcount Detail'!V2</f>
        <v>41666.666666666664</v>
      </c>
      <c r="T6" s="4">
        <f>'Headcount Detail'!W2</f>
        <v>41666.666666666664</v>
      </c>
      <c r="U6" s="4">
        <f>'Headcount Detail'!X2</f>
        <v>41666.666666666664</v>
      </c>
      <c r="V6" s="4">
        <f>'Headcount Detail'!Y2</f>
        <v>41666.666666666664</v>
      </c>
      <c r="W6" s="4">
        <f>'Headcount Detail'!Z2</f>
        <v>41666.666666666664</v>
      </c>
      <c r="X6" s="4">
        <f>'Headcount Detail'!AA2</f>
        <v>41666.666666666664</v>
      </c>
      <c r="Y6" s="4">
        <f>'Headcount Detail'!AB2</f>
        <v>41666.666666666664</v>
      </c>
      <c r="Z6" s="4">
        <f>'Headcount Detail'!AC2</f>
        <v>41666.666666666664</v>
      </c>
      <c r="AA6" s="4">
        <f>'Headcount Detail'!AD2</f>
        <v>125000</v>
      </c>
      <c r="AB6" s="4">
        <f>'Headcount Detail'!AE2</f>
        <v>125000</v>
      </c>
      <c r="AC6" s="44">
        <f>'Headcount Detail'!AF2</f>
        <v>125000</v>
      </c>
      <c r="AD6" s="69">
        <f>'Headcount Detail'!AG2</f>
        <v>416666.66666666663</v>
      </c>
      <c r="AE6" s="4">
        <f>'Headcount Detail'!AH2</f>
        <v>125000</v>
      </c>
      <c r="AF6" s="4">
        <f>'Headcount Detail'!AI2</f>
        <v>125000</v>
      </c>
      <c r="AG6" s="4">
        <f>'Headcount Detail'!AJ2</f>
        <v>125000</v>
      </c>
      <c r="AH6" s="4">
        <f>'Headcount Detail'!AK2</f>
        <v>125000</v>
      </c>
      <c r="AI6" s="4">
        <f>'Headcount Detail'!AL2</f>
        <v>500000</v>
      </c>
      <c r="AJ6" s="4">
        <f>'Headcount Detail'!AM2</f>
        <v>916666.66666666663</v>
      </c>
    </row>
    <row r="7" spans="1:36" outlineLevel="1" collapsed="1" x14ac:dyDescent="0.2">
      <c r="A7" s="42" t="str">
        <f>"  "&amp;'Headcount Detail'!A3</f>
        <v xml:space="preserve">  Product Lead</v>
      </c>
      <c r="B7" s="4">
        <f>'Headcount Detail'!E3</f>
        <v>0</v>
      </c>
      <c r="C7" s="4">
        <f>'Headcount Detail'!F3</f>
        <v>0</v>
      </c>
      <c r="D7" s="4">
        <f>'Headcount Detail'!G3</f>
        <v>20833.333333333332</v>
      </c>
      <c r="E7" s="4">
        <f>'Headcount Detail'!H3</f>
        <v>20833.333333333332</v>
      </c>
      <c r="F7" s="4">
        <f>'Headcount Detail'!I3</f>
        <v>20833.333333333332</v>
      </c>
      <c r="G7" s="4">
        <f>'Headcount Detail'!J3</f>
        <v>20833.333333333332</v>
      </c>
      <c r="H7" s="4">
        <f>'Headcount Detail'!K3</f>
        <v>20833.333333333332</v>
      </c>
      <c r="I7" s="4">
        <f>'Headcount Detail'!L3</f>
        <v>20833.333333333332</v>
      </c>
      <c r="J7" s="4">
        <f>'Headcount Detail'!M3</f>
        <v>20833.333333333332</v>
      </c>
      <c r="K7" s="4">
        <f>'Headcount Detail'!N3</f>
        <v>20833.333333333332</v>
      </c>
      <c r="L7" s="4">
        <f>'Headcount Detail'!O3</f>
        <v>20833.333333333332</v>
      </c>
      <c r="M7" s="44">
        <f>'Headcount Detail'!P3</f>
        <v>20833.333333333332</v>
      </c>
      <c r="N7" s="4">
        <f>'Headcount Detail'!Q3</f>
        <v>20833.333333333332</v>
      </c>
      <c r="O7" s="4">
        <f>'Headcount Detail'!R3</f>
        <v>20833.333333333332</v>
      </c>
      <c r="P7" s="4">
        <f>'Headcount Detail'!S3</f>
        <v>20833.333333333332</v>
      </c>
      <c r="Q7" s="4">
        <f>'Headcount Detail'!T3</f>
        <v>20833.333333333332</v>
      </c>
      <c r="R7" s="4">
        <f>'Headcount Detail'!U3</f>
        <v>20833.333333333332</v>
      </c>
      <c r="S7" s="4">
        <f>'Headcount Detail'!V3</f>
        <v>20833.333333333332</v>
      </c>
      <c r="T7" s="4">
        <f>'Headcount Detail'!W3</f>
        <v>20833.333333333332</v>
      </c>
      <c r="U7" s="4">
        <f>'Headcount Detail'!X3</f>
        <v>20833.333333333332</v>
      </c>
      <c r="V7" s="4">
        <f>'Headcount Detail'!Y3</f>
        <v>20833.333333333332</v>
      </c>
      <c r="W7" s="4">
        <f>'Headcount Detail'!Z3</f>
        <v>20833.333333333332</v>
      </c>
      <c r="X7" s="4">
        <f>'Headcount Detail'!AA3</f>
        <v>20833.333333333332</v>
      </c>
      <c r="Y7" s="4">
        <f>'Headcount Detail'!AB3</f>
        <v>20833.333333333332</v>
      </c>
      <c r="Z7" s="4">
        <f>'Headcount Detail'!AC3</f>
        <v>20833.333333333332</v>
      </c>
      <c r="AA7" s="4">
        <f>'Headcount Detail'!AD3</f>
        <v>62500</v>
      </c>
      <c r="AB7" s="4">
        <f>'Headcount Detail'!AE3</f>
        <v>62500</v>
      </c>
      <c r="AC7" s="44">
        <f>'Headcount Detail'!AF3</f>
        <v>62500</v>
      </c>
      <c r="AD7" s="69">
        <f>'Headcount Detail'!AG3</f>
        <v>208333.33333333331</v>
      </c>
      <c r="AE7" s="4">
        <f>'Headcount Detail'!AH3</f>
        <v>62500</v>
      </c>
      <c r="AF7" s="4">
        <f>'Headcount Detail'!AI3</f>
        <v>62500</v>
      </c>
      <c r="AG7" s="4">
        <f>'Headcount Detail'!AJ3</f>
        <v>62500</v>
      </c>
      <c r="AH7" s="4">
        <f>'Headcount Detail'!AK3</f>
        <v>62500</v>
      </c>
      <c r="AI7" s="4">
        <f>'Headcount Detail'!AL3</f>
        <v>250000</v>
      </c>
      <c r="AJ7" s="4">
        <f>'Headcount Detail'!AM3</f>
        <v>458333.33333333331</v>
      </c>
    </row>
    <row r="8" spans="1:36" outlineLevel="1" collapsed="1" x14ac:dyDescent="0.2">
      <c r="A8" s="42" t="str">
        <f>"  "&amp;'Headcount Detail'!A4</f>
        <v xml:space="preserve">  Architect #1 (Dom)</v>
      </c>
      <c r="B8" s="4">
        <f>'Headcount Detail'!E4</f>
        <v>15416.666666666666</v>
      </c>
      <c r="C8" s="4">
        <f>'Headcount Detail'!F4</f>
        <v>15416.666666666666</v>
      </c>
      <c r="D8" s="4">
        <f>'Headcount Detail'!G4</f>
        <v>15416.666666666666</v>
      </c>
      <c r="E8" s="4">
        <f>'Headcount Detail'!H4</f>
        <v>15416.666666666666</v>
      </c>
      <c r="F8" s="4">
        <f>'Headcount Detail'!I4</f>
        <v>15416.666666666666</v>
      </c>
      <c r="G8" s="4">
        <f>'Headcount Detail'!J4</f>
        <v>15416.666666666666</v>
      </c>
      <c r="H8" s="4">
        <f>'Headcount Detail'!K4</f>
        <v>15416.666666666666</v>
      </c>
      <c r="I8" s="4">
        <f>'Headcount Detail'!L4</f>
        <v>15416.666666666666</v>
      </c>
      <c r="J8" s="4">
        <f>'Headcount Detail'!M4</f>
        <v>15416.666666666666</v>
      </c>
      <c r="K8" s="4">
        <f>'Headcount Detail'!N4</f>
        <v>15416.666666666666</v>
      </c>
      <c r="L8" s="4">
        <f>'Headcount Detail'!O4</f>
        <v>15416.666666666666</v>
      </c>
      <c r="M8" s="44">
        <f>'Headcount Detail'!P4</f>
        <v>15416.666666666666</v>
      </c>
      <c r="N8" s="4">
        <f>'Headcount Detail'!Q4</f>
        <v>15416.666666666666</v>
      </c>
      <c r="O8" s="4">
        <f>'Headcount Detail'!R4</f>
        <v>15416.666666666666</v>
      </c>
      <c r="P8" s="4">
        <f>'Headcount Detail'!S4</f>
        <v>15416.666666666666</v>
      </c>
      <c r="Q8" s="4">
        <f>'Headcount Detail'!T4</f>
        <v>15416.666666666666</v>
      </c>
      <c r="R8" s="4">
        <f>'Headcount Detail'!U4</f>
        <v>15416.666666666666</v>
      </c>
      <c r="S8" s="4">
        <f>'Headcount Detail'!V4</f>
        <v>15416.666666666666</v>
      </c>
      <c r="T8" s="4">
        <f>'Headcount Detail'!W4</f>
        <v>15416.666666666666</v>
      </c>
      <c r="U8" s="4">
        <f>'Headcount Detail'!X4</f>
        <v>15416.666666666666</v>
      </c>
      <c r="V8" s="4">
        <f>'Headcount Detail'!Y4</f>
        <v>15416.666666666666</v>
      </c>
      <c r="W8" s="4">
        <f>'Headcount Detail'!Z4</f>
        <v>15416.666666666666</v>
      </c>
      <c r="X8" s="4">
        <f>'Headcount Detail'!AA4</f>
        <v>15416.666666666666</v>
      </c>
      <c r="Y8" s="4">
        <f>'Headcount Detail'!AB4</f>
        <v>15416.666666666666</v>
      </c>
      <c r="Z8" s="4">
        <f>'Headcount Detail'!AC4</f>
        <v>46250</v>
      </c>
      <c r="AA8" s="4">
        <f>'Headcount Detail'!AD4</f>
        <v>46250</v>
      </c>
      <c r="AB8" s="4">
        <f>'Headcount Detail'!AE4</f>
        <v>46250</v>
      </c>
      <c r="AC8" s="44">
        <f>'Headcount Detail'!AF4</f>
        <v>46250</v>
      </c>
      <c r="AD8" s="69">
        <f>'Headcount Detail'!AG4</f>
        <v>185000</v>
      </c>
      <c r="AE8" s="4">
        <f>'Headcount Detail'!AH4</f>
        <v>46250</v>
      </c>
      <c r="AF8" s="4">
        <f>'Headcount Detail'!AI4</f>
        <v>46250</v>
      </c>
      <c r="AG8" s="4">
        <f>'Headcount Detail'!AJ4</f>
        <v>46250</v>
      </c>
      <c r="AH8" s="4">
        <f>'Headcount Detail'!AK4</f>
        <v>46250</v>
      </c>
      <c r="AI8" s="4">
        <f>'Headcount Detail'!AL4</f>
        <v>185000</v>
      </c>
      <c r="AJ8" s="4">
        <f>'Headcount Detail'!AM4</f>
        <v>370000</v>
      </c>
    </row>
    <row r="9" spans="1:36" outlineLevel="1" collapsed="1" x14ac:dyDescent="0.2">
      <c r="A9" s="42" t="str">
        <f>"  "&amp;'Headcount Detail'!A5</f>
        <v xml:space="preserve">  Engineer #1</v>
      </c>
      <c r="B9" s="4">
        <f>'Headcount Detail'!E5</f>
        <v>0</v>
      </c>
      <c r="C9" s="4">
        <f>'Headcount Detail'!F5</f>
        <v>0</v>
      </c>
      <c r="D9" s="4">
        <f>'Headcount Detail'!G5</f>
        <v>16666.666666666668</v>
      </c>
      <c r="E9" s="4">
        <f>'Headcount Detail'!H5</f>
        <v>16666.666666666668</v>
      </c>
      <c r="F9" s="4">
        <f>'Headcount Detail'!I5</f>
        <v>16666.666666666668</v>
      </c>
      <c r="G9" s="4">
        <f>'Headcount Detail'!J5</f>
        <v>16666.666666666668</v>
      </c>
      <c r="H9" s="4">
        <f>'Headcount Detail'!K5</f>
        <v>16666.666666666668</v>
      </c>
      <c r="I9" s="4">
        <f>'Headcount Detail'!L5</f>
        <v>16666.666666666668</v>
      </c>
      <c r="J9" s="4">
        <f>'Headcount Detail'!M5</f>
        <v>16666.666666666668</v>
      </c>
      <c r="K9" s="4">
        <f>'Headcount Detail'!N5</f>
        <v>16666.666666666668</v>
      </c>
      <c r="L9" s="4">
        <f>'Headcount Detail'!O5</f>
        <v>16666.666666666668</v>
      </c>
      <c r="M9" s="44">
        <f>'Headcount Detail'!P5</f>
        <v>16666.666666666668</v>
      </c>
      <c r="N9" s="4">
        <f>'Headcount Detail'!Q5</f>
        <v>16666.666666666668</v>
      </c>
      <c r="O9" s="4">
        <f>'Headcount Detail'!R5</f>
        <v>16666.666666666668</v>
      </c>
      <c r="P9" s="4">
        <f>'Headcount Detail'!S5</f>
        <v>16666.666666666668</v>
      </c>
      <c r="Q9" s="4">
        <f>'Headcount Detail'!T5</f>
        <v>16666.666666666668</v>
      </c>
      <c r="R9" s="4">
        <f>'Headcount Detail'!U5</f>
        <v>16666.666666666668</v>
      </c>
      <c r="S9" s="4">
        <f>'Headcount Detail'!V5</f>
        <v>16666.666666666668</v>
      </c>
      <c r="T9" s="4">
        <f>'Headcount Detail'!W5</f>
        <v>16666.666666666668</v>
      </c>
      <c r="U9" s="4">
        <f>'Headcount Detail'!X5</f>
        <v>16666.666666666668</v>
      </c>
      <c r="V9" s="4">
        <f>'Headcount Detail'!Y5</f>
        <v>16666.666666666668</v>
      </c>
      <c r="W9" s="4">
        <f>'Headcount Detail'!Z5</f>
        <v>16666.666666666668</v>
      </c>
      <c r="X9" s="4">
        <f>'Headcount Detail'!AA5</f>
        <v>16666.666666666668</v>
      </c>
      <c r="Y9" s="4">
        <f>'Headcount Detail'!AB5</f>
        <v>16666.666666666668</v>
      </c>
      <c r="Z9" s="4">
        <f>'Headcount Detail'!AC5</f>
        <v>16666.666666666668</v>
      </c>
      <c r="AA9" s="4">
        <f>'Headcount Detail'!AD5</f>
        <v>50000</v>
      </c>
      <c r="AB9" s="4">
        <f>'Headcount Detail'!AE5</f>
        <v>50000</v>
      </c>
      <c r="AC9" s="44">
        <f>'Headcount Detail'!AF5</f>
        <v>50000</v>
      </c>
      <c r="AD9" s="69">
        <f>'Headcount Detail'!AG5</f>
        <v>166666.66666666669</v>
      </c>
      <c r="AE9" s="4">
        <f>'Headcount Detail'!AH5</f>
        <v>50000</v>
      </c>
      <c r="AF9" s="4">
        <f>'Headcount Detail'!AI5</f>
        <v>50000</v>
      </c>
      <c r="AG9" s="4">
        <f>'Headcount Detail'!AJ5</f>
        <v>50000</v>
      </c>
      <c r="AH9" s="4">
        <f>'Headcount Detail'!AK5</f>
        <v>50000</v>
      </c>
      <c r="AI9" s="4">
        <f>'Headcount Detail'!AL5</f>
        <v>200000</v>
      </c>
      <c r="AJ9" s="4">
        <f>'Headcount Detail'!AM5</f>
        <v>366666.66666666669</v>
      </c>
    </row>
    <row r="10" spans="1:36" outlineLevel="1" collapsed="1" x14ac:dyDescent="0.2">
      <c r="A10" s="42" t="str">
        <f>"  "&amp;'Headcount Detail'!A6</f>
        <v xml:space="preserve">  Engineer #2</v>
      </c>
      <c r="B10" s="4">
        <f>'Headcount Detail'!E6</f>
        <v>0</v>
      </c>
      <c r="C10" s="4">
        <f>'Headcount Detail'!F6</f>
        <v>0</v>
      </c>
      <c r="D10" s="4">
        <f>'Headcount Detail'!G6</f>
        <v>0</v>
      </c>
      <c r="E10" s="4">
        <f>'Headcount Detail'!H6</f>
        <v>0</v>
      </c>
      <c r="F10" s="4">
        <f>'Headcount Detail'!I6</f>
        <v>15000</v>
      </c>
      <c r="G10" s="4">
        <f>'Headcount Detail'!J6</f>
        <v>15000</v>
      </c>
      <c r="H10" s="4">
        <f>'Headcount Detail'!K6</f>
        <v>15000</v>
      </c>
      <c r="I10" s="4">
        <f>'Headcount Detail'!L6</f>
        <v>15000</v>
      </c>
      <c r="J10" s="4">
        <f>'Headcount Detail'!M6</f>
        <v>15000</v>
      </c>
      <c r="K10" s="4">
        <f>'Headcount Detail'!N6</f>
        <v>15000</v>
      </c>
      <c r="L10" s="4">
        <f>'Headcount Detail'!O6</f>
        <v>15000</v>
      </c>
      <c r="M10" s="44">
        <f>'Headcount Detail'!P6</f>
        <v>15000</v>
      </c>
      <c r="N10" s="4">
        <f>'Headcount Detail'!Q6</f>
        <v>15000</v>
      </c>
      <c r="O10" s="4">
        <f>'Headcount Detail'!R6</f>
        <v>15000</v>
      </c>
      <c r="P10" s="4">
        <f>'Headcount Detail'!S6</f>
        <v>15000</v>
      </c>
      <c r="Q10" s="4">
        <f>'Headcount Detail'!T6</f>
        <v>15000</v>
      </c>
      <c r="R10" s="4">
        <f>'Headcount Detail'!U6</f>
        <v>15000</v>
      </c>
      <c r="S10" s="4">
        <f>'Headcount Detail'!V6</f>
        <v>15000</v>
      </c>
      <c r="T10" s="4">
        <f>'Headcount Detail'!W6</f>
        <v>15000</v>
      </c>
      <c r="U10" s="4">
        <f>'Headcount Detail'!X6</f>
        <v>15000</v>
      </c>
      <c r="V10" s="4">
        <f>'Headcount Detail'!Y6</f>
        <v>15000</v>
      </c>
      <c r="W10" s="4">
        <f>'Headcount Detail'!Z6</f>
        <v>15000</v>
      </c>
      <c r="X10" s="4">
        <f>'Headcount Detail'!AA6</f>
        <v>15000</v>
      </c>
      <c r="Y10" s="4">
        <f>'Headcount Detail'!AB6</f>
        <v>15000</v>
      </c>
      <c r="Z10" s="4">
        <f>'Headcount Detail'!AC6</f>
        <v>0</v>
      </c>
      <c r="AA10" s="4">
        <f>'Headcount Detail'!AD6</f>
        <v>30000</v>
      </c>
      <c r="AB10" s="4">
        <f>'Headcount Detail'!AE6</f>
        <v>45000</v>
      </c>
      <c r="AC10" s="44">
        <f>'Headcount Detail'!AF6</f>
        <v>45000</v>
      </c>
      <c r="AD10" s="69">
        <f>'Headcount Detail'!AG6</f>
        <v>120000</v>
      </c>
      <c r="AE10" s="4">
        <f>'Headcount Detail'!AH6</f>
        <v>45000</v>
      </c>
      <c r="AF10" s="4">
        <f>'Headcount Detail'!AI6</f>
        <v>45000</v>
      </c>
      <c r="AG10" s="4">
        <f>'Headcount Detail'!AJ6</f>
        <v>45000</v>
      </c>
      <c r="AH10" s="4">
        <f>'Headcount Detail'!AK6</f>
        <v>45000</v>
      </c>
      <c r="AI10" s="4">
        <f>'Headcount Detail'!AL6</f>
        <v>180000</v>
      </c>
      <c r="AJ10" s="4">
        <f>'Headcount Detail'!AM6</f>
        <v>300000</v>
      </c>
    </row>
    <row r="11" spans="1:36" outlineLevel="1" collapsed="1" x14ac:dyDescent="0.2">
      <c r="A11" s="42" t="str">
        <f>"  "&amp;'Headcount Detail'!A13</f>
        <v xml:space="preserve">  Engineer #3</v>
      </c>
      <c r="B11" s="4">
        <f>'Headcount Detail'!E13</f>
        <v>0</v>
      </c>
      <c r="C11" s="4">
        <f>'Headcount Detail'!F13</f>
        <v>0</v>
      </c>
      <c r="D11" s="4">
        <f>'Headcount Detail'!G13</f>
        <v>0</v>
      </c>
      <c r="E11" s="4">
        <f>'Headcount Detail'!H13</f>
        <v>0</v>
      </c>
      <c r="F11" s="4">
        <f>'Headcount Detail'!I13</f>
        <v>0</v>
      </c>
      <c r="G11" s="4">
        <f>'Headcount Detail'!J13</f>
        <v>0</v>
      </c>
      <c r="H11" s="4">
        <f>'Headcount Detail'!K13</f>
        <v>0</v>
      </c>
      <c r="I11" s="4">
        <f>'Headcount Detail'!L13</f>
        <v>0</v>
      </c>
      <c r="J11" s="4">
        <f>'Headcount Detail'!M13</f>
        <v>0</v>
      </c>
      <c r="K11" s="4">
        <f>'Headcount Detail'!N13</f>
        <v>0</v>
      </c>
      <c r="L11" s="4">
        <f>'Headcount Detail'!O13</f>
        <v>0</v>
      </c>
      <c r="M11" s="44">
        <f>'Headcount Detail'!P13</f>
        <v>0</v>
      </c>
      <c r="N11" s="4">
        <f>'Headcount Detail'!Q13</f>
        <v>0</v>
      </c>
      <c r="O11" s="4">
        <f>'Headcount Detail'!R13</f>
        <v>0</v>
      </c>
      <c r="P11" s="4">
        <f>'Headcount Detail'!S13</f>
        <v>0</v>
      </c>
      <c r="Q11" s="4">
        <f>'Headcount Detail'!T13</f>
        <v>0</v>
      </c>
      <c r="R11" s="4">
        <f>'Headcount Detail'!U13</f>
        <v>0</v>
      </c>
      <c r="S11" s="4">
        <f>'Headcount Detail'!V13</f>
        <v>0</v>
      </c>
      <c r="T11" s="4">
        <f>'Headcount Detail'!W13</f>
        <v>0</v>
      </c>
      <c r="U11" s="4">
        <f>'Headcount Detail'!X13</f>
        <v>0</v>
      </c>
      <c r="V11" s="4">
        <f>'Headcount Detail'!Y13</f>
        <v>0</v>
      </c>
      <c r="W11" s="4">
        <f>'Headcount Detail'!Z13</f>
        <v>0</v>
      </c>
      <c r="X11" s="4">
        <f>'Headcount Detail'!AA13</f>
        <v>0</v>
      </c>
      <c r="Y11" s="4">
        <f>'Headcount Detail'!AB13</f>
        <v>0</v>
      </c>
      <c r="Z11" s="4">
        <f>'Headcount Detail'!AC13</f>
        <v>0</v>
      </c>
      <c r="AA11" s="4">
        <f>'Headcount Detail'!AD13</f>
        <v>0</v>
      </c>
      <c r="AB11" s="4">
        <f>'Headcount Detail'!AE13</f>
        <v>0</v>
      </c>
      <c r="AC11" s="44">
        <f>'Headcount Detail'!AF13</f>
        <v>0</v>
      </c>
      <c r="AD11" s="69">
        <f>'Headcount Detail'!AG13</f>
        <v>0</v>
      </c>
      <c r="AE11" s="4">
        <f>'Headcount Detail'!AH13</f>
        <v>0</v>
      </c>
      <c r="AF11" s="4">
        <f>'Headcount Detail'!AI13</f>
        <v>0</v>
      </c>
      <c r="AG11" s="4">
        <f>'Headcount Detail'!AJ13</f>
        <v>0</v>
      </c>
      <c r="AH11" s="4">
        <f>'Headcount Detail'!AK13</f>
        <v>0</v>
      </c>
      <c r="AI11" s="4">
        <f>'Headcount Detail'!AL13</f>
        <v>0</v>
      </c>
      <c r="AJ11" s="4">
        <f>'Headcount Detail'!AM13</f>
        <v>0</v>
      </c>
    </row>
    <row r="12" spans="1:36" outlineLevel="1" collapsed="1" x14ac:dyDescent="0.2">
      <c r="A12" s="42" t="str">
        <f>"  "&amp;'Headcount Detail'!A7</f>
        <v xml:space="preserve">  Outsource Engineering</v>
      </c>
      <c r="B12" s="4">
        <f>'Headcount Detail'!E7</f>
        <v>15000</v>
      </c>
      <c r="C12" s="4">
        <f>'Headcount Detail'!F7</f>
        <v>15000</v>
      </c>
      <c r="D12" s="4">
        <f>'Headcount Detail'!G7</f>
        <v>15000</v>
      </c>
      <c r="E12" s="4">
        <f>'Headcount Detail'!H7</f>
        <v>15000</v>
      </c>
      <c r="F12" s="4">
        <f>'Headcount Detail'!I7</f>
        <v>15000</v>
      </c>
      <c r="G12" s="4">
        <f>'Headcount Detail'!J7</f>
        <v>15000</v>
      </c>
      <c r="H12" s="4">
        <f>'Headcount Detail'!K7</f>
        <v>15000</v>
      </c>
      <c r="I12" s="4">
        <f>'Headcount Detail'!L7</f>
        <v>15000</v>
      </c>
      <c r="J12" s="4">
        <f>'Headcount Detail'!M7</f>
        <v>15000</v>
      </c>
      <c r="K12" s="4">
        <f>'Headcount Detail'!N7</f>
        <v>15000</v>
      </c>
      <c r="L12" s="4">
        <f>'Headcount Detail'!O7</f>
        <v>15000</v>
      </c>
      <c r="M12" s="44">
        <f>'Headcount Detail'!P7</f>
        <v>15000</v>
      </c>
      <c r="N12" s="4">
        <f>'Headcount Detail'!Q7</f>
        <v>15000</v>
      </c>
      <c r="O12" s="4">
        <f>'Headcount Detail'!R7</f>
        <v>15000</v>
      </c>
      <c r="P12" s="4">
        <f>'Headcount Detail'!S7</f>
        <v>15000</v>
      </c>
      <c r="Q12" s="4">
        <f>'Headcount Detail'!T7</f>
        <v>15000</v>
      </c>
      <c r="R12" s="4">
        <f>'Headcount Detail'!U7</f>
        <v>15000</v>
      </c>
      <c r="S12" s="4">
        <f>'Headcount Detail'!V7</f>
        <v>15000</v>
      </c>
      <c r="T12" s="4">
        <f>'Headcount Detail'!W7</f>
        <v>15000</v>
      </c>
      <c r="U12" s="4">
        <f>'Headcount Detail'!X7</f>
        <v>15000</v>
      </c>
      <c r="V12" s="4">
        <f>'Headcount Detail'!Y7</f>
        <v>15000</v>
      </c>
      <c r="W12" s="4">
        <f>'Headcount Detail'!Z7</f>
        <v>15000</v>
      </c>
      <c r="X12" s="4">
        <f>'Headcount Detail'!AA7</f>
        <v>15000</v>
      </c>
      <c r="Y12" s="4">
        <f>'Headcount Detail'!AB7</f>
        <v>15000</v>
      </c>
      <c r="Z12" s="4">
        <f>'Headcount Detail'!AC7</f>
        <v>45000</v>
      </c>
      <c r="AA12" s="4">
        <f>'Headcount Detail'!AD7</f>
        <v>45000</v>
      </c>
      <c r="AB12" s="4">
        <f>'Headcount Detail'!AE7</f>
        <v>45000</v>
      </c>
      <c r="AC12" s="44">
        <f>'Headcount Detail'!AF7</f>
        <v>45000</v>
      </c>
      <c r="AD12" s="69">
        <f>'Headcount Detail'!AG7</f>
        <v>180000</v>
      </c>
      <c r="AE12" s="4">
        <f>'Headcount Detail'!AH7</f>
        <v>45000</v>
      </c>
      <c r="AF12" s="4">
        <f>'Headcount Detail'!AI7</f>
        <v>45000</v>
      </c>
      <c r="AG12" s="4">
        <f>'Headcount Detail'!AJ7</f>
        <v>45000</v>
      </c>
      <c r="AH12" s="4">
        <f>'Headcount Detail'!AK7</f>
        <v>45000</v>
      </c>
      <c r="AI12" s="4">
        <f>'Headcount Detail'!AL7</f>
        <v>180000</v>
      </c>
      <c r="AJ12" s="4">
        <f>'Headcount Detail'!AM7</f>
        <v>360000</v>
      </c>
    </row>
    <row r="13" spans="1:36" outlineLevel="1" collapsed="1" x14ac:dyDescent="0.2">
      <c r="A13" s="42" t="str">
        <f>"  "&amp;'Headcount Detail'!A8</f>
        <v xml:space="preserve">  Sales Rep #1</v>
      </c>
      <c r="B13" s="4">
        <f>'Headcount Detail'!E8</f>
        <v>0</v>
      </c>
      <c r="C13" s="4">
        <f>'Headcount Detail'!F8</f>
        <v>0</v>
      </c>
      <c r="D13" s="4">
        <f>'Headcount Detail'!G8</f>
        <v>12500</v>
      </c>
      <c r="E13" s="4">
        <f>'Headcount Detail'!H8</f>
        <v>12500</v>
      </c>
      <c r="F13" s="4">
        <f>'Headcount Detail'!I8</f>
        <v>12500</v>
      </c>
      <c r="G13" s="4">
        <f>'Headcount Detail'!J8</f>
        <v>12500</v>
      </c>
      <c r="H13" s="4">
        <f>'Headcount Detail'!K8</f>
        <v>12500</v>
      </c>
      <c r="I13" s="4">
        <f>'Headcount Detail'!L8</f>
        <v>12500</v>
      </c>
      <c r="J13" s="4">
        <f>'Headcount Detail'!M8</f>
        <v>12500</v>
      </c>
      <c r="K13" s="4">
        <f>'Headcount Detail'!N8</f>
        <v>12500</v>
      </c>
      <c r="L13" s="4">
        <f>'Headcount Detail'!O8</f>
        <v>12500</v>
      </c>
      <c r="M13" s="44">
        <f>'Headcount Detail'!P8</f>
        <v>12500</v>
      </c>
      <c r="N13" s="4">
        <f>'Headcount Detail'!Q8</f>
        <v>12500</v>
      </c>
      <c r="O13" s="4">
        <f>'Headcount Detail'!R8</f>
        <v>12500</v>
      </c>
      <c r="P13" s="4">
        <f>'Headcount Detail'!S8</f>
        <v>12500</v>
      </c>
      <c r="Q13" s="4">
        <f>'Headcount Detail'!T8</f>
        <v>12500</v>
      </c>
      <c r="R13" s="4">
        <f>'Headcount Detail'!U8</f>
        <v>12500</v>
      </c>
      <c r="S13" s="4">
        <f>'Headcount Detail'!V8</f>
        <v>12500</v>
      </c>
      <c r="T13" s="4">
        <f>'Headcount Detail'!W8</f>
        <v>12500</v>
      </c>
      <c r="U13" s="4">
        <f>'Headcount Detail'!X8</f>
        <v>12500</v>
      </c>
      <c r="V13" s="4">
        <f>'Headcount Detail'!Y8</f>
        <v>12500</v>
      </c>
      <c r="W13" s="4">
        <f>'Headcount Detail'!Z8</f>
        <v>12500</v>
      </c>
      <c r="X13" s="4">
        <f>'Headcount Detail'!AA8</f>
        <v>12500</v>
      </c>
      <c r="Y13" s="4">
        <f>'Headcount Detail'!AB8</f>
        <v>12500</v>
      </c>
      <c r="Z13" s="4">
        <f>'Headcount Detail'!AC8</f>
        <v>12500</v>
      </c>
      <c r="AA13" s="4">
        <f>'Headcount Detail'!AD8</f>
        <v>37500</v>
      </c>
      <c r="AB13" s="4">
        <f>'Headcount Detail'!AE8</f>
        <v>37500</v>
      </c>
      <c r="AC13" s="44">
        <f>'Headcount Detail'!AF8</f>
        <v>37500</v>
      </c>
      <c r="AD13" s="69">
        <f>'Headcount Detail'!AG8</f>
        <v>125000</v>
      </c>
      <c r="AE13" s="4">
        <f>'Headcount Detail'!AH8</f>
        <v>37500</v>
      </c>
      <c r="AF13" s="4">
        <f>'Headcount Detail'!AI8</f>
        <v>37500</v>
      </c>
      <c r="AG13" s="4">
        <f>'Headcount Detail'!AJ8</f>
        <v>37500</v>
      </c>
      <c r="AH13" s="4">
        <f>'Headcount Detail'!AK8</f>
        <v>37500</v>
      </c>
      <c r="AI13" s="4">
        <f>'Headcount Detail'!AL8</f>
        <v>150000</v>
      </c>
      <c r="AJ13" s="4">
        <f>'Headcount Detail'!AM8</f>
        <v>275000</v>
      </c>
    </row>
    <row r="14" spans="1:36" outlineLevel="1" collapsed="1" x14ac:dyDescent="0.2">
      <c r="A14" s="42" t="str">
        <f>"  "&amp;'Headcount Detail'!A12</f>
        <v xml:space="preserve">  Sales Rep #2</v>
      </c>
      <c r="B14" s="4">
        <f>'Headcount Detail'!E12</f>
        <v>0</v>
      </c>
      <c r="C14" s="4">
        <f>'Headcount Detail'!F12</f>
        <v>0</v>
      </c>
      <c r="D14" s="4">
        <f>'Headcount Detail'!G12</f>
        <v>0</v>
      </c>
      <c r="E14" s="4">
        <f>'Headcount Detail'!H12</f>
        <v>0</v>
      </c>
      <c r="F14" s="4">
        <f>'Headcount Detail'!I12</f>
        <v>0</v>
      </c>
      <c r="G14" s="4">
        <f>'Headcount Detail'!J12</f>
        <v>0</v>
      </c>
      <c r="H14" s="4">
        <f>'Headcount Detail'!K12</f>
        <v>12500</v>
      </c>
      <c r="I14" s="4">
        <f>'Headcount Detail'!L12</f>
        <v>12500</v>
      </c>
      <c r="J14" s="4">
        <f>'Headcount Detail'!M12</f>
        <v>12500</v>
      </c>
      <c r="K14" s="4">
        <f>'Headcount Detail'!N12</f>
        <v>12500</v>
      </c>
      <c r="L14" s="4">
        <f>'Headcount Detail'!O12</f>
        <v>12500</v>
      </c>
      <c r="M14" s="44">
        <f>'Headcount Detail'!P12</f>
        <v>12500</v>
      </c>
      <c r="N14" s="4">
        <f>'Headcount Detail'!Q12</f>
        <v>12500</v>
      </c>
      <c r="O14" s="4">
        <f>'Headcount Detail'!R12</f>
        <v>12500</v>
      </c>
      <c r="P14" s="4">
        <f>'Headcount Detail'!S12</f>
        <v>12500</v>
      </c>
      <c r="Q14" s="4">
        <f>'Headcount Detail'!T12</f>
        <v>12500</v>
      </c>
      <c r="R14" s="4">
        <f>'Headcount Detail'!U12</f>
        <v>12500</v>
      </c>
      <c r="S14" s="4">
        <f>'Headcount Detail'!V12</f>
        <v>12500</v>
      </c>
      <c r="T14" s="4">
        <f>'Headcount Detail'!W12</f>
        <v>12500</v>
      </c>
      <c r="U14" s="4">
        <f>'Headcount Detail'!X12</f>
        <v>12500</v>
      </c>
      <c r="V14" s="4">
        <f>'Headcount Detail'!Y12</f>
        <v>12500</v>
      </c>
      <c r="W14" s="4">
        <f>'Headcount Detail'!Z12</f>
        <v>12500</v>
      </c>
      <c r="X14" s="4">
        <f>'Headcount Detail'!AA12</f>
        <v>12500</v>
      </c>
      <c r="Y14" s="4">
        <f>'Headcount Detail'!AB12</f>
        <v>12500</v>
      </c>
      <c r="Z14" s="4">
        <f>'Headcount Detail'!AC12</f>
        <v>0</v>
      </c>
      <c r="AA14" s="4">
        <f>'Headcount Detail'!AD12</f>
        <v>0</v>
      </c>
      <c r="AB14" s="4">
        <f>'Headcount Detail'!AE12</f>
        <v>37500</v>
      </c>
      <c r="AC14" s="44">
        <f>'Headcount Detail'!AF12</f>
        <v>37500</v>
      </c>
      <c r="AD14" s="69">
        <f>'Headcount Detail'!AG12</f>
        <v>75000</v>
      </c>
      <c r="AE14" s="4">
        <f>'Headcount Detail'!AH12</f>
        <v>37500</v>
      </c>
      <c r="AF14" s="4">
        <f>'Headcount Detail'!AI12</f>
        <v>37500</v>
      </c>
      <c r="AG14" s="4">
        <f>'Headcount Detail'!AJ12</f>
        <v>37500</v>
      </c>
      <c r="AH14" s="4">
        <f>'Headcount Detail'!AK12</f>
        <v>37500</v>
      </c>
      <c r="AI14" s="4">
        <f>'Headcount Detail'!AL12</f>
        <v>150000</v>
      </c>
      <c r="AJ14" s="4">
        <f>'Headcount Detail'!AM12</f>
        <v>225000</v>
      </c>
    </row>
    <row r="15" spans="1:36" outlineLevel="1" collapsed="1" x14ac:dyDescent="0.2">
      <c r="A15" s="42" t="str">
        <f>"  "&amp;'Headcount Detail'!A9</f>
        <v xml:space="preserve">  Marketing Lead</v>
      </c>
      <c r="B15" s="4">
        <f>'Headcount Detail'!E9</f>
        <v>0</v>
      </c>
      <c r="C15" s="4">
        <f>'Headcount Detail'!F9</f>
        <v>12500</v>
      </c>
      <c r="D15" s="4">
        <f>'Headcount Detail'!G9</f>
        <v>12500</v>
      </c>
      <c r="E15" s="4">
        <f>'Headcount Detail'!H9</f>
        <v>12500</v>
      </c>
      <c r="F15" s="4">
        <f>'Headcount Detail'!I9</f>
        <v>12500</v>
      </c>
      <c r="G15" s="4">
        <f>'Headcount Detail'!J9</f>
        <v>12500</v>
      </c>
      <c r="H15" s="4">
        <f>'Headcount Detail'!K9</f>
        <v>12500</v>
      </c>
      <c r="I15" s="4">
        <f>'Headcount Detail'!L9</f>
        <v>12500</v>
      </c>
      <c r="J15" s="4">
        <f>'Headcount Detail'!M9</f>
        <v>12500</v>
      </c>
      <c r="K15" s="4">
        <f>'Headcount Detail'!N9</f>
        <v>12500</v>
      </c>
      <c r="L15" s="4">
        <f>'Headcount Detail'!O9</f>
        <v>12500</v>
      </c>
      <c r="M15" s="44">
        <f>'Headcount Detail'!P9</f>
        <v>12500</v>
      </c>
      <c r="N15" s="4">
        <f>'Headcount Detail'!Q9</f>
        <v>12500</v>
      </c>
      <c r="O15" s="4">
        <f>'Headcount Detail'!R9</f>
        <v>12500</v>
      </c>
      <c r="P15" s="4">
        <f>'Headcount Detail'!S9</f>
        <v>12500</v>
      </c>
      <c r="Q15" s="4">
        <f>'Headcount Detail'!T9</f>
        <v>12500</v>
      </c>
      <c r="R15" s="4">
        <f>'Headcount Detail'!U9</f>
        <v>12500</v>
      </c>
      <c r="S15" s="4">
        <f>'Headcount Detail'!V9</f>
        <v>12500</v>
      </c>
      <c r="T15" s="4">
        <f>'Headcount Detail'!W9</f>
        <v>12500</v>
      </c>
      <c r="U15" s="4">
        <f>'Headcount Detail'!X9</f>
        <v>12500</v>
      </c>
      <c r="V15" s="4">
        <f>'Headcount Detail'!Y9</f>
        <v>12500</v>
      </c>
      <c r="W15" s="4">
        <f>'Headcount Detail'!Z9</f>
        <v>12500</v>
      </c>
      <c r="X15" s="4">
        <f>'Headcount Detail'!AA9</f>
        <v>12500</v>
      </c>
      <c r="Y15" s="4">
        <f>'Headcount Detail'!AB9</f>
        <v>12500</v>
      </c>
      <c r="Z15" s="4">
        <f>'Headcount Detail'!AC9</f>
        <v>25000</v>
      </c>
      <c r="AA15" s="4">
        <f>'Headcount Detail'!AD9</f>
        <v>37500</v>
      </c>
      <c r="AB15" s="4">
        <f>'Headcount Detail'!AE9</f>
        <v>37500</v>
      </c>
      <c r="AC15" s="44">
        <f>'Headcount Detail'!AF9</f>
        <v>37500</v>
      </c>
      <c r="AD15" s="69">
        <f>'Headcount Detail'!AG9</f>
        <v>137500</v>
      </c>
      <c r="AE15" s="4">
        <f>'Headcount Detail'!AH9</f>
        <v>37500</v>
      </c>
      <c r="AF15" s="4">
        <f>'Headcount Detail'!AI9</f>
        <v>37500</v>
      </c>
      <c r="AG15" s="4">
        <f>'Headcount Detail'!AJ9</f>
        <v>37500</v>
      </c>
      <c r="AH15" s="4">
        <f>'Headcount Detail'!AK9</f>
        <v>37500</v>
      </c>
      <c r="AI15" s="4">
        <f>'Headcount Detail'!AL9</f>
        <v>150000</v>
      </c>
      <c r="AJ15" s="4">
        <f>'Headcount Detail'!AM9</f>
        <v>287500</v>
      </c>
    </row>
    <row r="16" spans="1:36" outlineLevel="1" collapsed="1" x14ac:dyDescent="0.2">
      <c r="A16" s="42" t="str">
        <f>"  "&amp;'Headcount Detail'!A10</f>
        <v xml:space="preserve">  Customer Success Lead</v>
      </c>
      <c r="B16" s="4">
        <f>'Headcount Detail'!E10</f>
        <v>0</v>
      </c>
      <c r="C16" s="4">
        <f>'Headcount Detail'!F10</f>
        <v>0</v>
      </c>
      <c r="D16" s="4">
        <f>'Headcount Detail'!G10</f>
        <v>15000</v>
      </c>
      <c r="E16" s="4">
        <f>'Headcount Detail'!H10</f>
        <v>15000</v>
      </c>
      <c r="F16" s="4">
        <f>'Headcount Detail'!I10</f>
        <v>15000</v>
      </c>
      <c r="G16" s="4">
        <f>'Headcount Detail'!J10</f>
        <v>15000</v>
      </c>
      <c r="H16" s="4">
        <f>'Headcount Detail'!K10</f>
        <v>15000</v>
      </c>
      <c r="I16" s="4">
        <f>'Headcount Detail'!L10</f>
        <v>15000</v>
      </c>
      <c r="J16" s="4">
        <f>'Headcount Detail'!M10</f>
        <v>15000</v>
      </c>
      <c r="K16" s="4">
        <f>'Headcount Detail'!N10</f>
        <v>15000</v>
      </c>
      <c r="L16" s="4">
        <f>'Headcount Detail'!O10</f>
        <v>15000</v>
      </c>
      <c r="M16" s="44">
        <f>'Headcount Detail'!P10</f>
        <v>15000</v>
      </c>
      <c r="N16" s="4">
        <f>'Headcount Detail'!Q10</f>
        <v>15000</v>
      </c>
      <c r="O16" s="4">
        <f>'Headcount Detail'!R10</f>
        <v>15000</v>
      </c>
      <c r="P16" s="4">
        <f>'Headcount Detail'!S10</f>
        <v>15000</v>
      </c>
      <c r="Q16" s="4">
        <f>'Headcount Detail'!T10</f>
        <v>15000</v>
      </c>
      <c r="R16" s="4">
        <f>'Headcount Detail'!U10</f>
        <v>15000</v>
      </c>
      <c r="S16" s="4">
        <f>'Headcount Detail'!V10</f>
        <v>15000</v>
      </c>
      <c r="T16" s="4">
        <f>'Headcount Detail'!W10</f>
        <v>15000</v>
      </c>
      <c r="U16" s="4">
        <f>'Headcount Detail'!X10</f>
        <v>15000</v>
      </c>
      <c r="V16" s="4">
        <f>'Headcount Detail'!Y10</f>
        <v>15000</v>
      </c>
      <c r="W16" s="4">
        <f>'Headcount Detail'!Z10</f>
        <v>15000</v>
      </c>
      <c r="X16" s="4">
        <f>'Headcount Detail'!AA10</f>
        <v>15000</v>
      </c>
      <c r="Y16" s="4">
        <f>'Headcount Detail'!AB10</f>
        <v>15000</v>
      </c>
      <c r="Z16" s="4">
        <f>'Headcount Detail'!AC10</f>
        <v>15000</v>
      </c>
      <c r="AA16" s="4">
        <f>'Headcount Detail'!AD10</f>
        <v>45000</v>
      </c>
      <c r="AB16" s="4">
        <f>'Headcount Detail'!AE10</f>
        <v>45000</v>
      </c>
      <c r="AC16" s="44">
        <f>'Headcount Detail'!AF10</f>
        <v>45000</v>
      </c>
      <c r="AD16" s="69">
        <f>'Headcount Detail'!AG10</f>
        <v>150000</v>
      </c>
      <c r="AE16" s="4">
        <f>'Headcount Detail'!AH10</f>
        <v>45000</v>
      </c>
      <c r="AF16" s="4">
        <f>'Headcount Detail'!AI10</f>
        <v>45000</v>
      </c>
      <c r="AG16" s="4">
        <f>'Headcount Detail'!AJ10</f>
        <v>45000</v>
      </c>
      <c r="AH16" s="4">
        <f>'Headcount Detail'!AK10</f>
        <v>45000</v>
      </c>
      <c r="AI16" s="4">
        <f>'Headcount Detail'!AL10</f>
        <v>180000</v>
      </c>
      <c r="AJ16" s="4">
        <f>'Headcount Detail'!AM10</f>
        <v>330000</v>
      </c>
    </row>
    <row r="17" spans="1:36" hidden="1" outlineLevel="2" collapsed="1" x14ac:dyDescent="0.2">
      <c r="A17" s="42" t="str">
        <f>"  "&amp;'Headcount Detail'!A11</f>
        <v xml:space="preserve">  Developer Advocate</v>
      </c>
      <c r="B17" s="4">
        <f>'Headcount Detail'!E11</f>
        <v>0</v>
      </c>
      <c r="C17" s="4">
        <f>'Headcount Detail'!F11</f>
        <v>0</v>
      </c>
      <c r="D17" s="4">
        <f>'Headcount Detail'!G11</f>
        <v>0</v>
      </c>
      <c r="E17" s="4">
        <f>'Headcount Detail'!H11</f>
        <v>0</v>
      </c>
      <c r="F17" s="4">
        <f>'Headcount Detail'!I11</f>
        <v>0</v>
      </c>
      <c r="G17" s="4">
        <f>'Headcount Detail'!J11</f>
        <v>0</v>
      </c>
      <c r="H17" s="4">
        <f>'Headcount Detail'!K11</f>
        <v>0</v>
      </c>
      <c r="I17" s="4">
        <f>'Headcount Detail'!L11</f>
        <v>0</v>
      </c>
      <c r="J17" s="4">
        <f>'Headcount Detail'!M11</f>
        <v>0</v>
      </c>
      <c r="K17" s="4">
        <f>'Headcount Detail'!N11</f>
        <v>0</v>
      </c>
      <c r="L17" s="4">
        <f>'Headcount Detail'!O11</f>
        <v>0</v>
      </c>
      <c r="M17" s="44">
        <f>'Headcount Detail'!P11</f>
        <v>0</v>
      </c>
      <c r="N17" s="4">
        <f>'Headcount Detail'!Q11</f>
        <v>0</v>
      </c>
      <c r="O17" s="4">
        <f>'Headcount Detail'!R11</f>
        <v>0</v>
      </c>
      <c r="P17" s="4">
        <f>'Headcount Detail'!S11</f>
        <v>0</v>
      </c>
      <c r="Q17" s="4">
        <f>'Headcount Detail'!T11</f>
        <v>0</v>
      </c>
      <c r="R17" s="4">
        <f>'Headcount Detail'!U11</f>
        <v>0</v>
      </c>
      <c r="S17" s="4">
        <f>'Headcount Detail'!V11</f>
        <v>0</v>
      </c>
      <c r="T17" s="4">
        <f>'Headcount Detail'!W11</f>
        <v>0</v>
      </c>
      <c r="U17" s="4">
        <f>'Headcount Detail'!X11</f>
        <v>0</v>
      </c>
      <c r="V17" s="4">
        <f>'Headcount Detail'!Y11</f>
        <v>0</v>
      </c>
      <c r="W17" s="4">
        <f>'Headcount Detail'!Z11</f>
        <v>0</v>
      </c>
      <c r="X17" s="4">
        <f>'Headcount Detail'!AA11</f>
        <v>0</v>
      </c>
      <c r="Y17" s="4">
        <f>'Headcount Detail'!AB11</f>
        <v>0</v>
      </c>
      <c r="Z17" s="4">
        <f>'Headcount Detail'!AC11</f>
        <v>0</v>
      </c>
      <c r="AA17" s="4">
        <f>'Headcount Detail'!AD11</f>
        <v>0</v>
      </c>
      <c r="AB17" s="4">
        <f>'Headcount Detail'!AE11</f>
        <v>0</v>
      </c>
      <c r="AC17" s="44">
        <f>'Headcount Detail'!AF11</f>
        <v>0</v>
      </c>
      <c r="AD17" s="69">
        <f>'Headcount Detail'!AG11</f>
        <v>0</v>
      </c>
      <c r="AE17" s="4">
        <f>'Headcount Detail'!AH11</f>
        <v>0</v>
      </c>
      <c r="AF17" s="4">
        <f>'Headcount Detail'!AI11</f>
        <v>0</v>
      </c>
      <c r="AG17" s="4">
        <f>'Headcount Detail'!AJ11</f>
        <v>0</v>
      </c>
      <c r="AH17" s="4">
        <f>'Headcount Detail'!AK11</f>
        <v>0</v>
      </c>
      <c r="AI17" s="4">
        <f>'Headcount Detail'!AL11</f>
        <v>0</v>
      </c>
      <c r="AJ17" s="4">
        <f>'Headcount Detail'!AM11</f>
        <v>0</v>
      </c>
    </row>
    <row r="18" spans="1:36" hidden="1" outlineLevel="2" collapsed="1" x14ac:dyDescent="0.2">
      <c r="A18" s="42" t="str">
        <f>"  "&amp;'Headcount Detail'!A14</f>
        <v xml:space="preserve">  Customer Success Manager</v>
      </c>
      <c r="B18" s="4">
        <f>'Headcount Detail'!E14</f>
        <v>0</v>
      </c>
      <c r="C18" s="4">
        <f>'Headcount Detail'!F14</f>
        <v>0</v>
      </c>
      <c r="D18" s="4">
        <f>'Headcount Detail'!G14</f>
        <v>0</v>
      </c>
      <c r="E18" s="4">
        <f>'Headcount Detail'!H14</f>
        <v>0</v>
      </c>
      <c r="F18" s="4">
        <f>'Headcount Detail'!I14</f>
        <v>0</v>
      </c>
      <c r="G18" s="4">
        <f>'Headcount Detail'!J14</f>
        <v>0</v>
      </c>
      <c r="H18" s="4">
        <f>'Headcount Detail'!K14</f>
        <v>0</v>
      </c>
      <c r="I18" s="4">
        <f>'Headcount Detail'!L14</f>
        <v>0</v>
      </c>
      <c r="J18" s="4">
        <f>'Headcount Detail'!M14</f>
        <v>0</v>
      </c>
      <c r="K18" s="4">
        <f>'Headcount Detail'!N14</f>
        <v>0</v>
      </c>
      <c r="L18" s="4">
        <f>'Headcount Detail'!O14</f>
        <v>0</v>
      </c>
      <c r="M18" s="44">
        <f>'Headcount Detail'!P14</f>
        <v>0</v>
      </c>
      <c r="N18" s="4">
        <f>'Headcount Detail'!Q14</f>
        <v>0</v>
      </c>
      <c r="O18" s="4">
        <f>'Headcount Detail'!R14</f>
        <v>0</v>
      </c>
      <c r="P18" s="4">
        <f>'Headcount Detail'!S14</f>
        <v>0</v>
      </c>
      <c r="Q18" s="4">
        <f>'Headcount Detail'!T14</f>
        <v>0</v>
      </c>
      <c r="R18" s="4">
        <f>'Headcount Detail'!U14</f>
        <v>0</v>
      </c>
      <c r="S18" s="4">
        <f>'Headcount Detail'!V14</f>
        <v>0</v>
      </c>
      <c r="T18" s="4">
        <f>'Headcount Detail'!W14</f>
        <v>0</v>
      </c>
      <c r="U18" s="4">
        <f>'Headcount Detail'!X14</f>
        <v>0</v>
      </c>
      <c r="V18" s="4">
        <f>'Headcount Detail'!Y14</f>
        <v>0</v>
      </c>
      <c r="W18" s="4">
        <f>'Headcount Detail'!Z14</f>
        <v>0</v>
      </c>
      <c r="X18" s="4">
        <f>'Headcount Detail'!AA14</f>
        <v>0</v>
      </c>
      <c r="Y18" s="4">
        <f>'Headcount Detail'!AB14</f>
        <v>0</v>
      </c>
      <c r="Z18" s="4">
        <f>'Headcount Detail'!AC14</f>
        <v>0</v>
      </c>
      <c r="AA18" s="4">
        <f>'Headcount Detail'!AD14</f>
        <v>0</v>
      </c>
      <c r="AB18" s="4">
        <f>'Headcount Detail'!AE14</f>
        <v>0</v>
      </c>
      <c r="AC18" s="44">
        <f>'Headcount Detail'!AF14</f>
        <v>0</v>
      </c>
      <c r="AD18" s="69">
        <f>'Headcount Detail'!AG14</f>
        <v>0</v>
      </c>
      <c r="AE18" s="4">
        <f>'Headcount Detail'!AH14</f>
        <v>0</v>
      </c>
      <c r="AF18" s="4">
        <f>'Headcount Detail'!AI14</f>
        <v>0</v>
      </c>
      <c r="AG18" s="4">
        <f>'Headcount Detail'!AJ14</f>
        <v>0</v>
      </c>
      <c r="AH18" s="4">
        <f>'Headcount Detail'!AK14</f>
        <v>0</v>
      </c>
      <c r="AI18" s="4">
        <f>'Headcount Detail'!AL14</f>
        <v>0</v>
      </c>
      <c r="AJ18" s="4">
        <f>'Headcount Detail'!AM14</f>
        <v>0</v>
      </c>
    </row>
    <row r="19" spans="1:36" hidden="1" outlineLevel="2" collapsed="1" x14ac:dyDescent="0.2">
      <c r="A19" s="42" t="str">
        <f>"  "&amp;'Headcount Detail'!A15</f>
        <v xml:space="preserve">  Enterprise Sales Lead</v>
      </c>
      <c r="B19" s="4">
        <f>'Headcount Detail'!E15</f>
        <v>0</v>
      </c>
      <c r="C19" s="4">
        <f>'Headcount Detail'!F15</f>
        <v>0</v>
      </c>
      <c r="D19" s="4">
        <f>'Headcount Detail'!G15</f>
        <v>0</v>
      </c>
      <c r="E19" s="4">
        <f>'Headcount Detail'!H15</f>
        <v>0</v>
      </c>
      <c r="F19" s="4">
        <f>'Headcount Detail'!I15</f>
        <v>0</v>
      </c>
      <c r="G19" s="4">
        <f>'Headcount Detail'!J15</f>
        <v>0</v>
      </c>
      <c r="H19" s="4">
        <f>'Headcount Detail'!K15</f>
        <v>0</v>
      </c>
      <c r="I19" s="4">
        <f>'Headcount Detail'!L15</f>
        <v>0</v>
      </c>
      <c r="J19" s="4">
        <f>'Headcount Detail'!M15</f>
        <v>0</v>
      </c>
      <c r="K19" s="4">
        <f>'Headcount Detail'!N15</f>
        <v>0</v>
      </c>
      <c r="L19" s="4">
        <f>'Headcount Detail'!O15</f>
        <v>0</v>
      </c>
      <c r="M19" s="44">
        <f>'Headcount Detail'!P15</f>
        <v>0</v>
      </c>
      <c r="N19" s="4">
        <f>'Headcount Detail'!Q15</f>
        <v>0</v>
      </c>
      <c r="O19" s="4">
        <f>'Headcount Detail'!R15</f>
        <v>0</v>
      </c>
      <c r="P19" s="4">
        <f>'Headcount Detail'!S15</f>
        <v>0</v>
      </c>
      <c r="Q19" s="4">
        <f>'Headcount Detail'!T15</f>
        <v>0</v>
      </c>
      <c r="R19" s="4">
        <f>'Headcount Detail'!U15</f>
        <v>0</v>
      </c>
      <c r="S19" s="4">
        <f>'Headcount Detail'!V15</f>
        <v>0</v>
      </c>
      <c r="T19" s="4">
        <f>'Headcount Detail'!W15</f>
        <v>0</v>
      </c>
      <c r="U19" s="4">
        <f>'Headcount Detail'!X15</f>
        <v>0</v>
      </c>
      <c r="V19" s="4">
        <f>'Headcount Detail'!Y15</f>
        <v>0</v>
      </c>
      <c r="W19" s="4">
        <f>'Headcount Detail'!Z15</f>
        <v>0</v>
      </c>
      <c r="X19" s="4">
        <f>'Headcount Detail'!AA15</f>
        <v>0</v>
      </c>
      <c r="Y19" s="4">
        <f>'Headcount Detail'!AB15</f>
        <v>0</v>
      </c>
      <c r="Z19" s="4">
        <f>'Headcount Detail'!AC15</f>
        <v>0</v>
      </c>
      <c r="AA19" s="4">
        <f>'Headcount Detail'!AD15</f>
        <v>0</v>
      </c>
      <c r="AB19" s="4">
        <f>'Headcount Detail'!AE15</f>
        <v>0</v>
      </c>
      <c r="AC19" s="44">
        <f>'Headcount Detail'!AF15</f>
        <v>0</v>
      </c>
      <c r="AD19" s="69">
        <f>'Headcount Detail'!AG15</f>
        <v>0</v>
      </c>
      <c r="AE19" s="4">
        <f>'Headcount Detail'!AH15</f>
        <v>0</v>
      </c>
      <c r="AF19" s="4">
        <f>'Headcount Detail'!AI15</f>
        <v>0</v>
      </c>
      <c r="AG19" s="4">
        <f>'Headcount Detail'!AJ15</f>
        <v>0</v>
      </c>
      <c r="AH19" s="4">
        <f>'Headcount Detail'!AK15</f>
        <v>0</v>
      </c>
      <c r="AI19" s="4">
        <f>'Headcount Detail'!AL15</f>
        <v>0</v>
      </c>
      <c r="AJ19" s="4">
        <f>'Headcount Detail'!AM15</f>
        <v>0</v>
      </c>
    </row>
    <row r="20" spans="1:36" hidden="1" outlineLevel="2" collapsed="1" x14ac:dyDescent="0.2">
      <c r="A20" s="42" t="str">
        <f>"  "&amp;'Headcount Detail'!A16</f>
        <v xml:space="preserve">  Head of Customer Success</v>
      </c>
      <c r="B20" s="4">
        <f>'Headcount Detail'!E16</f>
        <v>0</v>
      </c>
      <c r="C20" s="4">
        <f>'Headcount Detail'!F16</f>
        <v>0</v>
      </c>
      <c r="D20" s="4">
        <f>'Headcount Detail'!G16</f>
        <v>0</v>
      </c>
      <c r="E20" s="4">
        <f>'Headcount Detail'!H16</f>
        <v>0</v>
      </c>
      <c r="F20" s="4">
        <f>'Headcount Detail'!I16</f>
        <v>0</v>
      </c>
      <c r="G20" s="4">
        <f>'Headcount Detail'!J16</f>
        <v>0</v>
      </c>
      <c r="H20" s="4">
        <f>'Headcount Detail'!K16</f>
        <v>0</v>
      </c>
      <c r="I20" s="4">
        <f>'Headcount Detail'!L16</f>
        <v>0</v>
      </c>
      <c r="J20" s="4">
        <f>'Headcount Detail'!M16</f>
        <v>0</v>
      </c>
      <c r="K20" s="4">
        <f>'Headcount Detail'!N16</f>
        <v>0</v>
      </c>
      <c r="L20" s="4">
        <f>'Headcount Detail'!O16</f>
        <v>0</v>
      </c>
      <c r="M20" s="44">
        <f>'Headcount Detail'!P16</f>
        <v>0</v>
      </c>
      <c r="N20" s="4">
        <f>'Headcount Detail'!Q16</f>
        <v>0</v>
      </c>
      <c r="O20" s="4">
        <f>'Headcount Detail'!R16</f>
        <v>0</v>
      </c>
      <c r="P20" s="4">
        <f>'Headcount Detail'!S16</f>
        <v>0</v>
      </c>
      <c r="Q20" s="4">
        <f>'Headcount Detail'!T16</f>
        <v>0</v>
      </c>
      <c r="R20" s="4">
        <f>'Headcount Detail'!U16</f>
        <v>0</v>
      </c>
      <c r="S20" s="4">
        <f>'Headcount Detail'!V16</f>
        <v>0</v>
      </c>
      <c r="T20" s="4">
        <f>'Headcount Detail'!W16</f>
        <v>0</v>
      </c>
      <c r="U20" s="4">
        <f>'Headcount Detail'!X16</f>
        <v>0</v>
      </c>
      <c r="V20" s="4">
        <f>'Headcount Detail'!Y16</f>
        <v>0</v>
      </c>
      <c r="W20" s="4">
        <f>'Headcount Detail'!Z16</f>
        <v>0</v>
      </c>
      <c r="X20" s="4">
        <f>'Headcount Detail'!AA16</f>
        <v>0</v>
      </c>
      <c r="Y20" s="4">
        <f>'Headcount Detail'!AB16</f>
        <v>0</v>
      </c>
      <c r="Z20" s="4">
        <f>'Headcount Detail'!AC16</f>
        <v>0</v>
      </c>
      <c r="AA20" s="4">
        <f>'Headcount Detail'!AD16</f>
        <v>0</v>
      </c>
      <c r="AB20" s="4">
        <f>'Headcount Detail'!AE16</f>
        <v>0</v>
      </c>
      <c r="AC20" s="44">
        <f>'Headcount Detail'!AF16</f>
        <v>0</v>
      </c>
      <c r="AD20" s="69">
        <f>'Headcount Detail'!AG16</f>
        <v>0</v>
      </c>
      <c r="AE20" s="4">
        <f>'Headcount Detail'!AH16</f>
        <v>0</v>
      </c>
      <c r="AF20" s="4">
        <f>'Headcount Detail'!AI16</f>
        <v>0</v>
      </c>
      <c r="AG20" s="4">
        <f>'Headcount Detail'!AJ16</f>
        <v>0</v>
      </c>
      <c r="AH20" s="4">
        <f>'Headcount Detail'!AK16</f>
        <v>0</v>
      </c>
      <c r="AI20" s="4">
        <f>'Headcount Detail'!AL16</f>
        <v>0</v>
      </c>
      <c r="AJ20" s="4">
        <f>'Headcount Detail'!AM16</f>
        <v>0</v>
      </c>
    </row>
    <row r="21" spans="1:36" hidden="1" outlineLevel="2" collapsed="1" x14ac:dyDescent="0.2">
      <c r="A21" s="42" t="str">
        <f>"  "&amp;'Headcount Detail'!A17</f>
        <v xml:space="preserve">  Senior Sales Rep</v>
      </c>
      <c r="B21" s="4">
        <f>'Headcount Detail'!E17</f>
        <v>0</v>
      </c>
      <c r="C21" s="4">
        <f>'Headcount Detail'!F17</f>
        <v>0</v>
      </c>
      <c r="D21" s="4">
        <f>'Headcount Detail'!G17</f>
        <v>0</v>
      </c>
      <c r="E21" s="4">
        <f>'Headcount Detail'!H17</f>
        <v>0</v>
      </c>
      <c r="F21" s="4">
        <f>'Headcount Detail'!I17</f>
        <v>0</v>
      </c>
      <c r="G21" s="4">
        <f>'Headcount Detail'!J17</f>
        <v>0</v>
      </c>
      <c r="H21" s="4">
        <f>'Headcount Detail'!K17</f>
        <v>0</v>
      </c>
      <c r="I21" s="4">
        <f>'Headcount Detail'!L17</f>
        <v>0</v>
      </c>
      <c r="J21" s="4">
        <f>'Headcount Detail'!M17</f>
        <v>0</v>
      </c>
      <c r="K21" s="4">
        <f>'Headcount Detail'!N17</f>
        <v>0</v>
      </c>
      <c r="L21" s="4">
        <f>'Headcount Detail'!O17</f>
        <v>0</v>
      </c>
      <c r="M21" s="44">
        <f>'Headcount Detail'!P17</f>
        <v>0</v>
      </c>
      <c r="N21" s="4">
        <f>'Headcount Detail'!Q17</f>
        <v>0</v>
      </c>
      <c r="O21" s="4">
        <f>'Headcount Detail'!R17</f>
        <v>0</v>
      </c>
      <c r="P21" s="4">
        <f>'Headcount Detail'!S17</f>
        <v>0</v>
      </c>
      <c r="Q21" s="4">
        <f>'Headcount Detail'!T17</f>
        <v>0</v>
      </c>
      <c r="R21" s="4">
        <f>'Headcount Detail'!U17</f>
        <v>0</v>
      </c>
      <c r="S21" s="4">
        <f>'Headcount Detail'!V17</f>
        <v>0</v>
      </c>
      <c r="T21" s="4">
        <f>'Headcount Detail'!W17</f>
        <v>0</v>
      </c>
      <c r="U21" s="4">
        <f>'Headcount Detail'!X17</f>
        <v>0</v>
      </c>
      <c r="V21" s="4">
        <f>'Headcount Detail'!Y17</f>
        <v>0</v>
      </c>
      <c r="W21" s="4">
        <f>'Headcount Detail'!Z17</f>
        <v>0</v>
      </c>
      <c r="X21" s="4">
        <f>'Headcount Detail'!AA17</f>
        <v>0</v>
      </c>
      <c r="Y21" s="4">
        <f>'Headcount Detail'!AB17</f>
        <v>0</v>
      </c>
      <c r="Z21" s="4">
        <f>'Headcount Detail'!AC17</f>
        <v>0</v>
      </c>
      <c r="AA21" s="4">
        <f>'Headcount Detail'!AD17</f>
        <v>0</v>
      </c>
      <c r="AB21" s="4">
        <f>'Headcount Detail'!AE17</f>
        <v>0</v>
      </c>
      <c r="AC21" s="44">
        <f>'Headcount Detail'!AF17</f>
        <v>0</v>
      </c>
      <c r="AD21" s="69">
        <f>'Headcount Detail'!AG17</f>
        <v>0</v>
      </c>
      <c r="AE21" s="4">
        <f>'Headcount Detail'!AH17</f>
        <v>0</v>
      </c>
      <c r="AF21" s="4">
        <f>'Headcount Detail'!AI17</f>
        <v>0</v>
      </c>
      <c r="AG21" s="4">
        <f>'Headcount Detail'!AJ17</f>
        <v>0</v>
      </c>
      <c r="AH21" s="4">
        <f>'Headcount Detail'!AK17</f>
        <v>0</v>
      </c>
      <c r="AI21" s="4">
        <f>'Headcount Detail'!AL17</f>
        <v>0</v>
      </c>
      <c r="AJ21" s="4">
        <f>'Headcount Detail'!AM17</f>
        <v>0</v>
      </c>
    </row>
    <row r="22" spans="1:36" hidden="1" outlineLevel="2" collapsed="1" x14ac:dyDescent="0.2">
      <c r="A22" s="42" t="str">
        <f>"  "&amp;'Headcount Detail'!A18</f>
        <v xml:space="preserve">  Product Manager</v>
      </c>
      <c r="B22" s="4">
        <f>'Headcount Detail'!E18</f>
        <v>0</v>
      </c>
      <c r="C22" s="4">
        <f>'Headcount Detail'!F18</f>
        <v>0</v>
      </c>
      <c r="D22" s="4">
        <f>'Headcount Detail'!G18</f>
        <v>0</v>
      </c>
      <c r="E22" s="4">
        <f>'Headcount Detail'!H18</f>
        <v>0</v>
      </c>
      <c r="F22" s="4">
        <f>'Headcount Detail'!I18</f>
        <v>0</v>
      </c>
      <c r="G22" s="4">
        <f>'Headcount Detail'!J18</f>
        <v>0</v>
      </c>
      <c r="H22" s="4">
        <f>'Headcount Detail'!K18</f>
        <v>0</v>
      </c>
      <c r="I22" s="4">
        <f>'Headcount Detail'!L18</f>
        <v>0</v>
      </c>
      <c r="J22" s="4">
        <f>'Headcount Detail'!M18</f>
        <v>0</v>
      </c>
      <c r="K22" s="4">
        <f>'Headcount Detail'!N18</f>
        <v>0</v>
      </c>
      <c r="L22" s="4">
        <f>'Headcount Detail'!O18</f>
        <v>0</v>
      </c>
      <c r="M22" s="44">
        <f>'Headcount Detail'!P18</f>
        <v>0</v>
      </c>
      <c r="N22" s="4">
        <f>'Headcount Detail'!Q18</f>
        <v>0</v>
      </c>
      <c r="O22" s="4">
        <f>'Headcount Detail'!R18</f>
        <v>0</v>
      </c>
      <c r="P22" s="4">
        <f>'Headcount Detail'!S18</f>
        <v>0</v>
      </c>
      <c r="Q22" s="4">
        <f>'Headcount Detail'!T18</f>
        <v>0</v>
      </c>
      <c r="R22" s="4">
        <f>'Headcount Detail'!U18</f>
        <v>0</v>
      </c>
      <c r="S22" s="4">
        <f>'Headcount Detail'!V18</f>
        <v>0</v>
      </c>
      <c r="T22" s="4">
        <f>'Headcount Detail'!W18</f>
        <v>0</v>
      </c>
      <c r="U22" s="4">
        <f>'Headcount Detail'!X18</f>
        <v>0</v>
      </c>
      <c r="V22" s="4">
        <f>'Headcount Detail'!Y18</f>
        <v>0</v>
      </c>
      <c r="W22" s="4">
        <f>'Headcount Detail'!Z18</f>
        <v>0</v>
      </c>
      <c r="X22" s="4">
        <f>'Headcount Detail'!AA18</f>
        <v>0</v>
      </c>
      <c r="Y22" s="4">
        <f>'Headcount Detail'!AB18</f>
        <v>0</v>
      </c>
      <c r="Z22" s="4">
        <f>'Headcount Detail'!AC18</f>
        <v>0</v>
      </c>
      <c r="AA22" s="4">
        <f>'Headcount Detail'!AD18</f>
        <v>0</v>
      </c>
      <c r="AB22" s="4">
        <f>'Headcount Detail'!AE18</f>
        <v>0</v>
      </c>
      <c r="AC22" s="44">
        <f>'Headcount Detail'!AF18</f>
        <v>0</v>
      </c>
      <c r="AD22" s="69">
        <f>'Headcount Detail'!AG18</f>
        <v>0</v>
      </c>
      <c r="AE22" s="4">
        <f>'Headcount Detail'!AH18</f>
        <v>0</v>
      </c>
      <c r="AF22" s="4">
        <f>'Headcount Detail'!AI18</f>
        <v>0</v>
      </c>
      <c r="AG22" s="4">
        <f>'Headcount Detail'!AJ18</f>
        <v>0</v>
      </c>
      <c r="AH22" s="4">
        <f>'Headcount Detail'!AK18</f>
        <v>0</v>
      </c>
      <c r="AI22" s="4">
        <f>'Headcount Detail'!AL18</f>
        <v>0</v>
      </c>
      <c r="AJ22" s="4">
        <f>'Headcount Detail'!AM18</f>
        <v>0</v>
      </c>
    </row>
    <row r="23" spans="1:36" hidden="1" outlineLevel="2" collapsed="1" x14ac:dyDescent="0.2">
      <c r="A23" s="42" t="str">
        <f>"  "&amp;'Headcount Detail'!A19</f>
        <v xml:space="preserve">  Senior Engineer</v>
      </c>
      <c r="B23" s="4">
        <f>'Headcount Detail'!E19</f>
        <v>0</v>
      </c>
      <c r="C23" s="4">
        <f>'Headcount Detail'!F19</f>
        <v>0</v>
      </c>
      <c r="D23" s="4">
        <f>'Headcount Detail'!G19</f>
        <v>0</v>
      </c>
      <c r="E23" s="4">
        <f>'Headcount Detail'!H19</f>
        <v>0</v>
      </c>
      <c r="F23" s="4">
        <f>'Headcount Detail'!I19</f>
        <v>0</v>
      </c>
      <c r="G23" s="4">
        <f>'Headcount Detail'!J19</f>
        <v>0</v>
      </c>
      <c r="H23" s="4">
        <f>'Headcount Detail'!K19</f>
        <v>0</v>
      </c>
      <c r="I23" s="4">
        <f>'Headcount Detail'!L19</f>
        <v>0</v>
      </c>
      <c r="J23" s="4">
        <f>'Headcount Detail'!M19</f>
        <v>0</v>
      </c>
      <c r="K23" s="4">
        <f>'Headcount Detail'!N19</f>
        <v>0</v>
      </c>
      <c r="L23" s="4">
        <f>'Headcount Detail'!O19</f>
        <v>0</v>
      </c>
      <c r="M23" s="44">
        <f>'Headcount Detail'!P19</f>
        <v>0</v>
      </c>
      <c r="N23" s="4">
        <f>'Headcount Detail'!Q19</f>
        <v>0</v>
      </c>
      <c r="O23" s="4">
        <f>'Headcount Detail'!R19</f>
        <v>0</v>
      </c>
      <c r="P23" s="4">
        <f>'Headcount Detail'!S19</f>
        <v>0</v>
      </c>
      <c r="Q23" s="4">
        <f>'Headcount Detail'!T19</f>
        <v>0</v>
      </c>
      <c r="R23" s="4">
        <f>'Headcount Detail'!U19</f>
        <v>0</v>
      </c>
      <c r="S23" s="4">
        <f>'Headcount Detail'!V19</f>
        <v>0</v>
      </c>
      <c r="T23" s="4">
        <f>'Headcount Detail'!W19</f>
        <v>0</v>
      </c>
      <c r="U23" s="4">
        <f>'Headcount Detail'!X19</f>
        <v>0</v>
      </c>
      <c r="V23" s="4">
        <f>'Headcount Detail'!Y19</f>
        <v>0</v>
      </c>
      <c r="W23" s="4">
        <f>'Headcount Detail'!Z19</f>
        <v>0</v>
      </c>
      <c r="X23" s="4">
        <f>'Headcount Detail'!AA19</f>
        <v>0</v>
      </c>
      <c r="Y23" s="4">
        <f>'Headcount Detail'!AB19</f>
        <v>0</v>
      </c>
      <c r="Z23" s="4">
        <f>'Headcount Detail'!AC19</f>
        <v>0</v>
      </c>
      <c r="AA23" s="4">
        <f>'Headcount Detail'!AD19</f>
        <v>0</v>
      </c>
      <c r="AB23" s="4">
        <f>'Headcount Detail'!AE19</f>
        <v>0</v>
      </c>
      <c r="AC23" s="44">
        <f>'Headcount Detail'!AF19</f>
        <v>0</v>
      </c>
      <c r="AD23" s="69">
        <f>'Headcount Detail'!AG19</f>
        <v>0</v>
      </c>
      <c r="AE23" s="4">
        <f>'Headcount Detail'!AH19</f>
        <v>0</v>
      </c>
      <c r="AF23" s="4">
        <f>'Headcount Detail'!AI19</f>
        <v>0</v>
      </c>
      <c r="AG23" s="4">
        <f>'Headcount Detail'!AJ19</f>
        <v>0</v>
      </c>
      <c r="AH23" s="4">
        <f>'Headcount Detail'!AK19</f>
        <v>0</v>
      </c>
      <c r="AI23" s="4">
        <f>'Headcount Detail'!AL19</f>
        <v>0</v>
      </c>
      <c r="AJ23" s="4">
        <f>'Headcount Detail'!AM19</f>
        <v>0</v>
      </c>
    </row>
    <row r="24" spans="1:36" hidden="1" outlineLevel="2" collapsed="1" x14ac:dyDescent="0.2">
      <c r="A24" s="42" t="str">
        <f>"  "&amp;'Headcount Detail'!A20</f>
        <v xml:space="preserve">  Marketing Manager</v>
      </c>
      <c r="B24" s="4">
        <f>'Headcount Detail'!E20</f>
        <v>0</v>
      </c>
      <c r="C24" s="4">
        <f>'Headcount Detail'!F20</f>
        <v>0</v>
      </c>
      <c r="D24" s="4">
        <f>'Headcount Detail'!G20</f>
        <v>0</v>
      </c>
      <c r="E24" s="4">
        <f>'Headcount Detail'!H20</f>
        <v>0</v>
      </c>
      <c r="F24" s="4">
        <f>'Headcount Detail'!I20</f>
        <v>0</v>
      </c>
      <c r="G24" s="4">
        <f>'Headcount Detail'!J20</f>
        <v>0</v>
      </c>
      <c r="H24" s="4">
        <f>'Headcount Detail'!K20</f>
        <v>0</v>
      </c>
      <c r="I24" s="4">
        <f>'Headcount Detail'!L20</f>
        <v>0</v>
      </c>
      <c r="J24" s="4">
        <f>'Headcount Detail'!M20</f>
        <v>0</v>
      </c>
      <c r="K24" s="4">
        <f>'Headcount Detail'!N20</f>
        <v>0</v>
      </c>
      <c r="L24" s="4">
        <f>'Headcount Detail'!O20</f>
        <v>0</v>
      </c>
      <c r="M24" s="44">
        <f>'Headcount Detail'!P20</f>
        <v>0</v>
      </c>
      <c r="N24" s="4">
        <f>'Headcount Detail'!Q20</f>
        <v>0</v>
      </c>
      <c r="O24" s="4">
        <f>'Headcount Detail'!R20</f>
        <v>0</v>
      </c>
      <c r="P24" s="4">
        <f>'Headcount Detail'!S20</f>
        <v>0</v>
      </c>
      <c r="Q24" s="4">
        <f>'Headcount Detail'!T20</f>
        <v>0</v>
      </c>
      <c r="R24" s="4">
        <f>'Headcount Detail'!U20</f>
        <v>0</v>
      </c>
      <c r="S24" s="4">
        <f>'Headcount Detail'!V20</f>
        <v>0</v>
      </c>
      <c r="T24" s="4">
        <f>'Headcount Detail'!W20</f>
        <v>0</v>
      </c>
      <c r="U24" s="4">
        <f>'Headcount Detail'!X20</f>
        <v>0</v>
      </c>
      <c r="V24" s="4">
        <f>'Headcount Detail'!Y20</f>
        <v>0</v>
      </c>
      <c r="W24" s="4">
        <f>'Headcount Detail'!Z20</f>
        <v>0</v>
      </c>
      <c r="X24" s="4">
        <f>'Headcount Detail'!AA20</f>
        <v>0</v>
      </c>
      <c r="Y24" s="4">
        <f>'Headcount Detail'!AB20</f>
        <v>0</v>
      </c>
      <c r="Z24" s="4">
        <f>'Headcount Detail'!AC20</f>
        <v>0</v>
      </c>
      <c r="AA24" s="4">
        <f>'Headcount Detail'!AD20</f>
        <v>0</v>
      </c>
      <c r="AB24" s="4">
        <f>'Headcount Detail'!AE20</f>
        <v>0</v>
      </c>
      <c r="AC24" s="44">
        <f>'Headcount Detail'!AF20</f>
        <v>0</v>
      </c>
      <c r="AD24" s="69">
        <f>'Headcount Detail'!AG20</f>
        <v>0</v>
      </c>
      <c r="AE24" s="4">
        <f>'Headcount Detail'!AH20</f>
        <v>0</v>
      </c>
      <c r="AF24" s="4">
        <f>'Headcount Detail'!AI20</f>
        <v>0</v>
      </c>
      <c r="AG24" s="4">
        <f>'Headcount Detail'!AJ20</f>
        <v>0</v>
      </c>
      <c r="AH24" s="4">
        <f>'Headcount Detail'!AK20</f>
        <v>0</v>
      </c>
      <c r="AI24" s="4">
        <f>'Headcount Detail'!AL20</f>
        <v>0</v>
      </c>
      <c r="AJ24" s="4">
        <f>'Headcount Detail'!AM20</f>
        <v>0</v>
      </c>
    </row>
    <row r="25" spans="1:36" hidden="1" outlineLevel="2" collapsed="1" x14ac:dyDescent="0.2">
      <c r="A25" s="42" t="str">
        <f>"  "&amp;'Headcount Detail'!A21</f>
        <v xml:space="preserve">  Customer Success Rep</v>
      </c>
      <c r="B25" s="4">
        <f>'Headcount Detail'!E21</f>
        <v>0</v>
      </c>
      <c r="C25" s="4">
        <f>'Headcount Detail'!F21</f>
        <v>0</v>
      </c>
      <c r="D25" s="4">
        <f>'Headcount Detail'!G21</f>
        <v>0</v>
      </c>
      <c r="E25" s="4">
        <f>'Headcount Detail'!H21</f>
        <v>0</v>
      </c>
      <c r="F25" s="4">
        <f>'Headcount Detail'!I21</f>
        <v>0</v>
      </c>
      <c r="G25" s="4">
        <f>'Headcount Detail'!J21</f>
        <v>0</v>
      </c>
      <c r="H25" s="4">
        <f>'Headcount Detail'!K21</f>
        <v>0</v>
      </c>
      <c r="I25" s="4">
        <f>'Headcount Detail'!L21</f>
        <v>0</v>
      </c>
      <c r="J25" s="4">
        <f>'Headcount Detail'!M21</f>
        <v>0</v>
      </c>
      <c r="K25" s="4">
        <f>'Headcount Detail'!N21</f>
        <v>0</v>
      </c>
      <c r="L25" s="4">
        <f>'Headcount Detail'!O21</f>
        <v>0</v>
      </c>
      <c r="M25" s="44">
        <f>'Headcount Detail'!P21</f>
        <v>0</v>
      </c>
      <c r="N25" s="4">
        <f>'Headcount Detail'!Q21</f>
        <v>0</v>
      </c>
      <c r="O25" s="4">
        <f>'Headcount Detail'!R21</f>
        <v>0</v>
      </c>
      <c r="P25" s="4">
        <f>'Headcount Detail'!S21</f>
        <v>0</v>
      </c>
      <c r="Q25" s="4">
        <f>'Headcount Detail'!T21</f>
        <v>0</v>
      </c>
      <c r="R25" s="4">
        <f>'Headcount Detail'!U21</f>
        <v>0</v>
      </c>
      <c r="S25" s="4">
        <f>'Headcount Detail'!V21</f>
        <v>0</v>
      </c>
      <c r="T25" s="4">
        <f>'Headcount Detail'!W21</f>
        <v>0</v>
      </c>
      <c r="U25" s="4">
        <f>'Headcount Detail'!X21</f>
        <v>0</v>
      </c>
      <c r="V25" s="4">
        <f>'Headcount Detail'!Y21</f>
        <v>0</v>
      </c>
      <c r="W25" s="4">
        <f>'Headcount Detail'!Z21</f>
        <v>0</v>
      </c>
      <c r="X25" s="4">
        <f>'Headcount Detail'!AA21</f>
        <v>0</v>
      </c>
      <c r="Y25" s="4">
        <f>'Headcount Detail'!AB21</f>
        <v>0</v>
      </c>
      <c r="Z25" s="4">
        <f>'Headcount Detail'!AC21</f>
        <v>0</v>
      </c>
      <c r="AA25" s="4">
        <f>'Headcount Detail'!AD21</f>
        <v>0</v>
      </c>
      <c r="AB25" s="4">
        <f>'Headcount Detail'!AE21</f>
        <v>0</v>
      </c>
      <c r="AC25" s="44">
        <f>'Headcount Detail'!AF21</f>
        <v>0</v>
      </c>
      <c r="AD25" s="69">
        <f>'Headcount Detail'!AG21</f>
        <v>0</v>
      </c>
      <c r="AE25" s="4">
        <f>'Headcount Detail'!AH21</f>
        <v>0</v>
      </c>
      <c r="AF25" s="4">
        <f>'Headcount Detail'!AI21</f>
        <v>0</v>
      </c>
      <c r="AG25" s="4">
        <f>'Headcount Detail'!AJ21</f>
        <v>0</v>
      </c>
      <c r="AH25" s="4">
        <f>'Headcount Detail'!AK21</f>
        <v>0</v>
      </c>
      <c r="AI25" s="4">
        <f>'Headcount Detail'!AL21</f>
        <v>0</v>
      </c>
      <c r="AJ25" s="4">
        <f>'Headcount Detail'!AM21</f>
        <v>0</v>
      </c>
    </row>
    <row r="26" spans="1:36" hidden="1" outlineLevel="2" collapsed="1" x14ac:dyDescent="0.2">
      <c r="A26" s="42" t="str">
        <f>"  "&amp;'Headcount Detail'!A22</f>
        <v xml:space="preserve">  Part-time CFO</v>
      </c>
      <c r="B26" s="4">
        <f>'Headcount Detail'!E22</f>
        <v>0</v>
      </c>
      <c r="C26" s="4">
        <f>'Headcount Detail'!F22</f>
        <v>0</v>
      </c>
      <c r="D26" s="4">
        <f>'Headcount Detail'!G22</f>
        <v>0</v>
      </c>
      <c r="E26" s="4">
        <f>'Headcount Detail'!H22</f>
        <v>0</v>
      </c>
      <c r="F26" s="4">
        <f>'Headcount Detail'!I22</f>
        <v>0</v>
      </c>
      <c r="G26" s="4">
        <f>'Headcount Detail'!J22</f>
        <v>0</v>
      </c>
      <c r="H26" s="4">
        <f>'Headcount Detail'!K22</f>
        <v>0</v>
      </c>
      <c r="I26" s="4">
        <f>'Headcount Detail'!L22</f>
        <v>0</v>
      </c>
      <c r="J26" s="4">
        <f>'Headcount Detail'!M22</f>
        <v>0</v>
      </c>
      <c r="K26" s="4">
        <f>'Headcount Detail'!N22</f>
        <v>0</v>
      </c>
      <c r="L26" s="4">
        <f>'Headcount Detail'!O22</f>
        <v>0</v>
      </c>
      <c r="M26" s="44">
        <f>'Headcount Detail'!P22</f>
        <v>0</v>
      </c>
      <c r="N26" s="4">
        <f>'Headcount Detail'!Q22</f>
        <v>0</v>
      </c>
      <c r="O26" s="4">
        <f>'Headcount Detail'!R22</f>
        <v>0</v>
      </c>
      <c r="P26" s="4">
        <f>'Headcount Detail'!S22</f>
        <v>0</v>
      </c>
      <c r="Q26" s="4">
        <f>'Headcount Detail'!T22</f>
        <v>0</v>
      </c>
      <c r="R26" s="4">
        <f>'Headcount Detail'!U22</f>
        <v>0</v>
      </c>
      <c r="S26" s="4">
        <f>'Headcount Detail'!V22</f>
        <v>0</v>
      </c>
      <c r="T26" s="4">
        <f>'Headcount Detail'!W22</f>
        <v>0</v>
      </c>
      <c r="U26" s="4">
        <f>'Headcount Detail'!X22</f>
        <v>0</v>
      </c>
      <c r="V26" s="4">
        <f>'Headcount Detail'!Y22</f>
        <v>0</v>
      </c>
      <c r="W26" s="4">
        <f>'Headcount Detail'!Z22</f>
        <v>0</v>
      </c>
      <c r="X26" s="4">
        <f>'Headcount Detail'!AA22</f>
        <v>0</v>
      </c>
      <c r="Y26" s="4">
        <f>'Headcount Detail'!AB22</f>
        <v>0</v>
      </c>
      <c r="Z26" s="4">
        <f>'Headcount Detail'!AC22</f>
        <v>0</v>
      </c>
      <c r="AA26" s="4">
        <f>'Headcount Detail'!AD22</f>
        <v>0</v>
      </c>
      <c r="AB26" s="4">
        <f>'Headcount Detail'!AE22</f>
        <v>0</v>
      </c>
      <c r="AC26" s="44">
        <f>'Headcount Detail'!AF22</f>
        <v>0</v>
      </c>
      <c r="AD26" s="69">
        <f>'Headcount Detail'!AG22</f>
        <v>0</v>
      </c>
      <c r="AE26" s="4">
        <f>'Headcount Detail'!AH22</f>
        <v>0</v>
      </c>
      <c r="AF26" s="4">
        <f>'Headcount Detail'!AI22</f>
        <v>0</v>
      </c>
      <c r="AG26" s="4">
        <f>'Headcount Detail'!AJ22</f>
        <v>0</v>
      </c>
      <c r="AH26" s="4">
        <f>'Headcount Detail'!AK22</f>
        <v>0</v>
      </c>
      <c r="AI26" s="4">
        <f>'Headcount Detail'!AL22</f>
        <v>0</v>
      </c>
      <c r="AJ26" s="4">
        <f>'Headcount Detail'!AM22</f>
        <v>0</v>
      </c>
    </row>
    <row r="27" spans="1:36" hidden="1" outlineLevel="2" collapsed="1" x14ac:dyDescent="0.2">
      <c r="A27" s="42" t="str">
        <f>"  "&amp;'Headcount Detail'!A23</f>
        <v xml:space="preserve">  Part-time Legal Counsel</v>
      </c>
      <c r="B27" s="4">
        <f>'Headcount Detail'!E23</f>
        <v>0</v>
      </c>
      <c r="C27" s="4">
        <f>'Headcount Detail'!F23</f>
        <v>0</v>
      </c>
      <c r="D27" s="4">
        <f>'Headcount Detail'!G23</f>
        <v>0</v>
      </c>
      <c r="E27" s="4">
        <f>'Headcount Detail'!H23</f>
        <v>0</v>
      </c>
      <c r="F27" s="4">
        <f>'Headcount Detail'!I23</f>
        <v>0</v>
      </c>
      <c r="G27" s="4">
        <f>'Headcount Detail'!J23</f>
        <v>0</v>
      </c>
      <c r="H27" s="4">
        <f>'Headcount Detail'!K23</f>
        <v>0</v>
      </c>
      <c r="I27" s="4">
        <f>'Headcount Detail'!L23</f>
        <v>0</v>
      </c>
      <c r="J27" s="4">
        <f>'Headcount Detail'!M23</f>
        <v>0</v>
      </c>
      <c r="K27" s="4">
        <f>'Headcount Detail'!N23</f>
        <v>0</v>
      </c>
      <c r="L27" s="4">
        <f>'Headcount Detail'!O23</f>
        <v>0</v>
      </c>
      <c r="M27" s="44">
        <f>'Headcount Detail'!P23</f>
        <v>0</v>
      </c>
      <c r="N27" s="4">
        <f>'Headcount Detail'!Q23</f>
        <v>0</v>
      </c>
      <c r="O27" s="4">
        <f>'Headcount Detail'!R23</f>
        <v>0</v>
      </c>
      <c r="P27" s="4">
        <f>'Headcount Detail'!S23</f>
        <v>0</v>
      </c>
      <c r="Q27" s="4">
        <f>'Headcount Detail'!T23</f>
        <v>0</v>
      </c>
      <c r="R27" s="4">
        <f>'Headcount Detail'!U23</f>
        <v>0</v>
      </c>
      <c r="S27" s="4">
        <f>'Headcount Detail'!V23</f>
        <v>0</v>
      </c>
      <c r="T27" s="4">
        <f>'Headcount Detail'!W23</f>
        <v>0</v>
      </c>
      <c r="U27" s="4">
        <f>'Headcount Detail'!X23</f>
        <v>0</v>
      </c>
      <c r="V27" s="4">
        <f>'Headcount Detail'!Y23</f>
        <v>0</v>
      </c>
      <c r="W27" s="4">
        <f>'Headcount Detail'!Z23</f>
        <v>0</v>
      </c>
      <c r="X27" s="4">
        <f>'Headcount Detail'!AA23</f>
        <v>0</v>
      </c>
      <c r="Y27" s="4">
        <f>'Headcount Detail'!AB23</f>
        <v>0</v>
      </c>
      <c r="Z27" s="4">
        <f>'Headcount Detail'!AC23</f>
        <v>0</v>
      </c>
      <c r="AA27" s="4">
        <f>'Headcount Detail'!AD23</f>
        <v>0</v>
      </c>
      <c r="AB27" s="4">
        <f>'Headcount Detail'!AE23</f>
        <v>0</v>
      </c>
      <c r="AC27" s="44">
        <f>'Headcount Detail'!AF23</f>
        <v>0</v>
      </c>
      <c r="AD27" s="69">
        <f>'Headcount Detail'!AG23</f>
        <v>0</v>
      </c>
      <c r="AE27" s="4">
        <f>'Headcount Detail'!AH23</f>
        <v>0</v>
      </c>
      <c r="AF27" s="4">
        <f>'Headcount Detail'!AI23</f>
        <v>0</v>
      </c>
      <c r="AG27" s="4">
        <f>'Headcount Detail'!AJ23</f>
        <v>0</v>
      </c>
      <c r="AH27" s="4">
        <f>'Headcount Detail'!AK23</f>
        <v>0</v>
      </c>
      <c r="AI27" s="4">
        <f>'Headcount Detail'!AL23</f>
        <v>0</v>
      </c>
      <c r="AJ27" s="4">
        <f>'Headcount Detail'!AM23</f>
        <v>0</v>
      </c>
    </row>
    <row r="28" spans="1:36" hidden="1" outlineLevel="2" collapsed="1" x14ac:dyDescent="0.2">
      <c r="A28" s="42" t="str">
        <f>"  "&amp;'Headcount Detail'!A24</f>
        <v xml:space="preserve">  Technical Advisors (3)</v>
      </c>
      <c r="B28" s="4">
        <f>'Headcount Detail'!E24</f>
        <v>0</v>
      </c>
      <c r="C28" s="4">
        <f>'Headcount Detail'!F24</f>
        <v>0</v>
      </c>
      <c r="D28" s="4">
        <f>'Headcount Detail'!G24</f>
        <v>0</v>
      </c>
      <c r="E28" s="4">
        <f>'Headcount Detail'!H24</f>
        <v>0</v>
      </c>
      <c r="F28" s="4">
        <f>'Headcount Detail'!I24</f>
        <v>0</v>
      </c>
      <c r="G28" s="4">
        <f>'Headcount Detail'!J24</f>
        <v>0</v>
      </c>
      <c r="H28" s="4">
        <f>'Headcount Detail'!K24</f>
        <v>0</v>
      </c>
      <c r="I28" s="4">
        <f>'Headcount Detail'!L24</f>
        <v>0</v>
      </c>
      <c r="J28" s="4">
        <f>'Headcount Detail'!M24</f>
        <v>0</v>
      </c>
      <c r="K28" s="4">
        <f>'Headcount Detail'!N24</f>
        <v>0</v>
      </c>
      <c r="L28" s="4">
        <f>'Headcount Detail'!O24</f>
        <v>0</v>
      </c>
      <c r="M28" s="44">
        <f>'Headcount Detail'!P24</f>
        <v>0</v>
      </c>
      <c r="N28" s="4">
        <f>'Headcount Detail'!Q24</f>
        <v>0</v>
      </c>
      <c r="O28" s="4">
        <f>'Headcount Detail'!R24</f>
        <v>0</v>
      </c>
      <c r="P28" s="4">
        <f>'Headcount Detail'!S24</f>
        <v>0</v>
      </c>
      <c r="Q28" s="4">
        <f>'Headcount Detail'!T24</f>
        <v>0</v>
      </c>
      <c r="R28" s="4">
        <f>'Headcount Detail'!U24</f>
        <v>0</v>
      </c>
      <c r="S28" s="4">
        <f>'Headcount Detail'!V24</f>
        <v>0</v>
      </c>
      <c r="T28" s="4">
        <f>'Headcount Detail'!W24</f>
        <v>0</v>
      </c>
      <c r="U28" s="4">
        <f>'Headcount Detail'!X24</f>
        <v>0</v>
      </c>
      <c r="V28" s="4">
        <f>'Headcount Detail'!Y24</f>
        <v>0</v>
      </c>
      <c r="W28" s="4">
        <f>'Headcount Detail'!Z24</f>
        <v>0</v>
      </c>
      <c r="X28" s="4">
        <f>'Headcount Detail'!AA24</f>
        <v>0</v>
      </c>
      <c r="Y28" s="4">
        <f>'Headcount Detail'!AB24</f>
        <v>0</v>
      </c>
      <c r="Z28" s="4">
        <f>'Headcount Detail'!AC24</f>
        <v>0</v>
      </c>
      <c r="AA28" s="4">
        <f>'Headcount Detail'!AD24</f>
        <v>0</v>
      </c>
      <c r="AB28" s="4">
        <f>'Headcount Detail'!AE24</f>
        <v>0</v>
      </c>
      <c r="AC28" s="44">
        <f>'Headcount Detail'!AF24</f>
        <v>0</v>
      </c>
      <c r="AD28" s="69">
        <f>'Headcount Detail'!AG24</f>
        <v>0</v>
      </c>
      <c r="AE28" s="4">
        <f>'Headcount Detail'!AH24</f>
        <v>0</v>
      </c>
      <c r="AF28" s="4">
        <f>'Headcount Detail'!AI24</f>
        <v>0</v>
      </c>
      <c r="AG28" s="4">
        <f>'Headcount Detail'!AJ24</f>
        <v>0</v>
      </c>
      <c r="AH28" s="4">
        <f>'Headcount Detail'!AK24</f>
        <v>0</v>
      </c>
      <c r="AI28" s="4">
        <f>'Headcount Detail'!AL24</f>
        <v>0</v>
      </c>
      <c r="AJ28" s="4">
        <f>'Headcount Detail'!AM24</f>
        <v>0</v>
      </c>
    </row>
    <row r="29" spans="1:36" hidden="1" outlineLevel="2" collapsed="1" x14ac:dyDescent="0.2">
      <c r="A29" s="42" t="str">
        <f>"  "&amp;'Headcount Detail'!A25</f>
        <v xml:space="preserve">  Industry Advisors (2)</v>
      </c>
      <c r="B29" s="4">
        <f>'Headcount Detail'!E25</f>
        <v>0</v>
      </c>
      <c r="C29" s="4">
        <f>'Headcount Detail'!F25</f>
        <v>0</v>
      </c>
      <c r="D29" s="4">
        <f>'Headcount Detail'!G25</f>
        <v>0</v>
      </c>
      <c r="E29" s="4">
        <f>'Headcount Detail'!H25</f>
        <v>0</v>
      </c>
      <c r="F29" s="4">
        <f>'Headcount Detail'!I25</f>
        <v>0</v>
      </c>
      <c r="G29" s="4">
        <f>'Headcount Detail'!J25</f>
        <v>0</v>
      </c>
      <c r="H29" s="4">
        <f>'Headcount Detail'!K25</f>
        <v>0</v>
      </c>
      <c r="I29" s="4">
        <f>'Headcount Detail'!L25</f>
        <v>0</v>
      </c>
      <c r="J29" s="4">
        <f>'Headcount Detail'!M25</f>
        <v>0</v>
      </c>
      <c r="K29" s="4">
        <f>'Headcount Detail'!N25</f>
        <v>0</v>
      </c>
      <c r="L29" s="4">
        <f>'Headcount Detail'!O25</f>
        <v>0</v>
      </c>
      <c r="M29" s="44">
        <f>'Headcount Detail'!P25</f>
        <v>0</v>
      </c>
      <c r="N29" s="4">
        <f>'Headcount Detail'!Q25</f>
        <v>0</v>
      </c>
      <c r="O29" s="4">
        <f>'Headcount Detail'!R25</f>
        <v>0</v>
      </c>
      <c r="P29" s="4">
        <f>'Headcount Detail'!S25</f>
        <v>0</v>
      </c>
      <c r="Q29" s="4">
        <f>'Headcount Detail'!T25</f>
        <v>0</v>
      </c>
      <c r="R29" s="4">
        <f>'Headcount Detail'!U25</f>
        <v>0</v>
      </c>
      <c r="S29" s="4">
        <f>'Headcount Detail'!V25</f>
        <v>0</v>
      </c>
      <c r="T29" s="4">
        <f>'Headcount Detail'!W25</f>
        <v>0</v>
      </c>
      <c r="U29" s="4">
        <f>'Headcount Detail'!X25</f>
        <v>0</v>
      </c>
      <c r="V29" s="4">
        <f>'Headcount Detail'!Y25</f>
        <v>0</v>
      </c>
      <c r="W29" s="4">
        <f>'Headcount Detail'!Z25</f>
        <v>0</v>
      </c>
      <c r="X29" s="4">
        <f>'Headcount Detail'!AA25</f>
        <v>0</v>
      </c>
      <c r="Y29" s="4">
        <f>'Headcount Detail'!AB25</f>
        <v>0</v>
      </c>
      <c r="Z29" s="4">
        <f>'Headcount Detail'!AC25</f>
        <v>0</v>
      </c>
      <c r="AA29" s="4">
        <f>'Headcount Detail'!AD25</f>
        <v>0</v>
      </c>
      <c r="AB29" s="4">
        <f>'Headcount Detail'!AE25</f>
        <v>0</v>
      </c>
      <c r="AC29" s="44">
        <f>'Headcount Detail'!AF25</f>
        <v>0</v>
      </c>
      <c r="AD29" s="69">
        <f>'Headcount Detail'!AG25</f>
        <v>0</v>
      </c>
      <c r="AE29" s="4">
        <f>'Headcount Detail'!AH25</f>
        <v>0</v>
      </c>
      <c r="AF29" s="4">
        <f>'Headcount Detail'!AI25</f>
        <v>0</v>
      </c>
      <c r="AG29" s="4">
        <f>'Headcount Detail'!AJ25</f>
        <v>0</v>
      </c>
      <c r="AH29" s="4">
        <f>'Headcount Detail'!AK25</f>
        <v>0</v>
      </c>
      <c r="AI29" s="4">
        <f>'Headcount Detail'!AL25</f>
        <v>0</v>
      </c>
      <c r="AJ29" s="4">
        <f>'Headcount Detail'!AM25</f>
        <v>0</v>
      </c>
    </row>
    <row r="30" spans="1:36" outlineLevel="1" collapsed="1" x14ac:dyDescent="0.2">
      <c r="A30" s="55" t="s">
        <v>45</v>
      </c>
      <c r="B30" s="10">
        <f>'Headcount Detail'!E26</f>
        <v>30416.666666666664</v>
      </c>
      <c r="C30" s="10">
        <f>'Headcount Detail'!F26</f>
        <v>42916.666666666664</v>
      </c>
      <c r="D30" s="10">
        <f>'Headcount Detail'!G26</f>
        <v>149583.33333333334</v>
      </c>
      <c r="E30" s="10">
        <f>'Headcount Detail'!H26</f>
        <v>149583.33333333334</v>
      </c>
      <c r="F30" s="10">
        <f>'Headcount Detail'!I26</f>
        <v>164583.33333333334</v>
      </c>
      <c r="G30" s="10">
        <f>'Headcount Detail'!J26</f>
        <v>164583.33333333334</v>
      </c>
      <c r="H30" s="10">
        <f>'Headcount Detail'!K26</f>
        <v>177083.33333333334</v>
      </c>
      <c r="I30" s="10">
        <f>'Headcount Detail'!L26</f>
        <v>177083.33333333334</v>
      </c>
      <c r="J30" s="10">
        <f>'Headcount Detail'!M26</f>
        <v>177083.33333333334</v>
      </c>
      <c r="K30" s="10">
        <f>'Headcount Detail'!N26</f>
        <v>177083.33333333334</v>
      </c>
      <c r="L30" s="10">
        <f>'Headcount Detail'!O26</f>
        <v>177083.33333333334</v>
      </c>
      <c r="M30" s="45">
        <f>'Headcount Detail'!P26</f>
        <v>177083.33333333334</v>
      </c>
      <c r="N30" s="10">
        <f>'Headcount Detail'!Q26</f>
        <v>177083.33333333334</v>
      </c>
      <c r="O30" s="10">
        <f>'Headcount Detail'!R26</f>
        <v>177083.33333333334</v>
      </c>
      <c r="P30" s="10">
        <f>'Headcount Detail'!S26</f>
        <v>177083.33333333334</v>
      </c>
      <c r="Q30" s="10">
        <f>'Headcount Detail'!T26</f>
        <v>177083.33333333334</v>
      </c>
      <c r="R30" s="10">
        <f>'Headcount Detail'!U26</f>
        <v>177083.33333333334</v>
      </c>
      <c r="S30" s="10">
        <f>'Headcount Detail'!V26</f>
        <v>177083.33333333334</v>
      </c>
      <c r="T30" s="10">
        <f>'Headcount Detail'!W26</f>
        <v>177083.33333333334</v>
      </c>
      <c r="U30" s="10">
        <f>'Headcount Detail'!X26</f>
        <v>177083.33333333334</v>
      </c>
      <c r="V30" s="10">
        <f>'Headcount Detail'!Y26</f>
        <v>177083.33333333334</v>
      </c>
      <c r="W30" s="10">
        <f>'Headcount Detail'!Z26</f>
        <v>177083.33333333334</v>
      </c>
      <c r="X30" s="10">
        <f>'Headcount Detail'!AA26</f>
        <v>177083.33333333334</v>
      </c>
      <c r="Y30" s="10">
        <f>'Headcount Detail'!AB26</f>
        <v>177083.33333333334</v>
      </c>
      <c r="Z30" s="10">
        <f>'Headcount Detail'!AC26</f>
        <v>222916.66666666669</v>
      </c>
      <c r="AA30" s="10">
        <f>'Headcount Detail'!AD26</f>
        <v>478750</v>
      </c>
      <c r="AB30" s="10">
        <f>'Headcount Detail'!AE26</f>
        <v>531250</v>
      </c>
      <c r="AC30" s="45">
        <f>'Headcount Detail'!AF26</f>
        <v>531250</v>
      </c>
      <c r="AD30" s="70">
        <f>'Headcount Detail'!AG26</f>
        <v>1764166.6666666667</v>
      </c>
      <c r="AE30" s="10">
        <f>'Headcount Detail'!AH26</f>
        <v>531250</v>
      </c>
      <c r="AF30" s="10">
        <f>'Headcount Detail'!AI26</f>
        <v>531250</v>
      </c>
      <c r="AG30" s="10">
        <f>'Headcount Detail'!AJ26</f>
        <v>531250</v>
      </c>
      <c r="AH30" s="10">
        <f>'Headcount Detail'!AK26</f>
        <v>531250</v>
      </c>
      <c r="AI30" s="10">
        <f>'Headcount Detail'!AL26</f>
        <v>2125000</v>
      </c>
      <c r="AJ30" s="10">
        <f>'Headcount Detail'!AM26</f>
        <v>3889166.6666666665</v>
      </c>
    </row>
    <row r="31" spans="1:36" outlineLevel="1" collapsed="1" x14ac:dyDescent="0.2">
      <c r="A31" s="55" t="s">
        <v>46</v>
      </c>
      <c r="B31" s="4">
        <f>'Headcount Detail'!E27</f>
        <v>10645.833333333332</v>
      </c>
      <c r="C31" s="4">
        <f>'Headcount Detail'!F27</f>
        <v>15020.833333333332</v>
      </c>
      <c r="D31" s="4">
        <f>'Headcount Detail'!G27</f>
        <v>52354.166666666664</v>
      </c>
      <c r="E31" s="4">
        <f>'Headcount Detail'!H27</f>
        <v>52354.166666666664</v>
      </c>
      <c r="F31" s="4">
        <f>'Headcount Detail'!I27</f>
        <v>57604.166666666664</v>
      </c>
      <c r="G31" s="4">
        <f>'Headcount Detail'!J27</f>
        <v>57604.166666666664</v>
      </c>
      <c r="H31" s="4">
        <f>'Headcount Detail'!K27</f>
        <v>61979.166666666664</v>
      </c>
      <c r="I31" s="4">
        <f>'Headcount Detail'!L27</f>
        <v>61979.166666666664</v>
      </c>
      <c r="J31" s="4">
        <f>'Headcount Detail'!M27</f>
        <v>61979.166666666664</v>
      </c>
      <c r="K31" s="4">
        <f>'Headcount Detail'!N27</f>
        <v>61979.166666666664</v>
      </c>
      <c r="L31" s="4">
        <f>'Headcount Detail'!O27</f>
        <v>61979.166666666664</v>
      </c>
      <c r="M31" s="44">
        <f>'Headcount Detail'!P27</f>
        <v>61979.166666666664</v>
      </c>
      <c r="N31" s="4">
        <f>'Headcount Detail'!Q27</f>
        <v>61979.166666666664</v>
      </c>
      <c r="O31" s="4">
        <f>'Headcount Detail'!R27</f>
        <v>61979.166666666664</v>
      </c>
      <c r="P31" s="4">
        <f>'Headcount Detail'!S27</f>
        <v>61979.166666666664</v>
      </c>
      <c r="Q31" s="4">
        <f>'Headcount Detail'!T27</f>
        <v>61979.166666666664</v>
      </c>
      <c r="R31" s="4">
        <f>'Headcount Detail'!U27</f>
        <v>61979.166666666664</v>
      </c>
      <c r="S31" s="4">
        <f>'Headcount Detail'!V27</f>
        <v>61979.166666666664</v>
      </c>
      <c r="T31" s="4">
        <f>'Headcount Detail'!W27</f>
        <v>61979.166666666664</v>
      </c>
      <c r="U31" s="4">
        <f>'Headcount Detail'!X27</f>
        <v>61979.166666666664</v>
      </c>
      <c r="V31" s="4">
        <f>'Headcount Detail'!Y27</f>
        <v>61979.166666666664</v>
      </c>
      <c r="W31" s="4">
        <f>'Headcount Detail'!Z27</f>
        <v>61979.166666666664</v>
      </c>
      <c r="X31" s="4">
        <f>'Headcount Detail'!AA27</f>
        <v>61979.166666666664</v>
      </c>
      <c r="Y31" s="4">
        <f>'Headcount Detail'!AB27</f>
        <v>61979.166666666664</v>
      </c>
      <c r="Z31" s="4">
        <f>'Headcount Detail'!AC27</f>
        <v>78020.833333333328</v>
      </c>
      <c r="AA31" s="4">
        <f>'Headcount Detail'!AD27</f>
        <v>167562.5</v>
      </c>
      <c r="AB31" s="4">
        <f>'Headcount Detail'!AE27</f>
        <v>185937.5</v>
      </c>
      <c r="AC31" s="44">
        <f>'Headcount Detail'!AF27</f>
        <v>185937.5</v>
      </c>
      <c r="AD31" s="69">
        <f>'Headcount Detail'!AG27</f>
        <v>617458.33333333337</v>
      </c>
      <c r="AE31" s="4">
        <f>'Headcount Detail'!AH27</f>
        <v>185937.5</v>
      </c>
      <c r="AF31" s="4">
        <f>'Headcount Detail'!AI27</f>
        <v>185937.5</v>
      </c>
      <c r="AG31" s="4">
        <f>'Headcount Detail'!AJ27</f>
        <v>185937.5</v>
      </c>
      <c r="AH31" s="4">
        <f>'Headcount Detail'!AK27</f>
        <v>185937.5</v>
      </c>
      <c r="AI31" s="4">
        <f>'Headcount Detail'!AL27</f>
        <v>743750</v>
      </c>
      <c r="AJ31" s="4">
        <f>'Headcount Detail'!AM27</f>
        <v>1361208.3333333333</v>
      </c>
    </row>
    <row r="32" spans="1:36" outlineLevel="1" collapsed="1" x14ac:dyDescent="0.2">
      <c r="A32" s="55" t="s">
        <v>47</v>
      </c>
      <c r="B32" s="4">
        <f>'Headcount Detail'!E28</f>
        <v>20000</v>
      </c>
      <c r="C32" s="4">
        <f>'Headcount Detail'!F28</f>
        <v>10000</v>
      </c>
      <c r="D32" s="4">
        <f>'Headcount Detail'!G28</f>
        <v>50000</v>
      </c>
      <c r="E32" s="4">
        <f>'Headcount Detail'!H28</f>
        <v>0</v>
      </c>
      <c r="F32" s="4">
        <f>'Headcount Detail'!I28</f>
        <v>10000</v>
      </c>
      <c r="G32" s="4">
        <f>'Headcount Detail'!J28</f>
        <v>0</v>
      </c>
      <c r="H32" s="4">
        <f>'Headcount Detail'!K28</f>
        <v>10000</v>
      </c>
      <c r="I32" s="4">
        <f>'Headcount Detail'!L28</f>
        <v>0</v>
      </c>
      <c r="J32" s="4">
        <f>'Headcount Detail'!M28</f>
        <v>0</v>
      </c>
      <c r="K32" s="4">
        <f>'Headcount Detail'!N28</f>
        <v>0</v>
      </c>
      <c r="L32" s="4">
        <f>'Headcount Detail'!O28</f>
        <v>0</v>
      </c>
      <c r="M32" s="44">
        <f>'Headcount Detail'!P28</f>
        <v>0</v>
      </c>
      <c r="N32" s="4">
        <f>'Headcount Detail'!Q28</f>
        <v>0</v>
      </c>
      <c r="O32" s="4">
        <f>'Headcount Detail'!R28</f>
        <v>0</v>
      </c>
      <c r="P32" s="4">
        <f>'Headcount Detail'!S28</f>
        <v>0</v>
      </c>
      <c r="Q32" s="4">
        <f>'Headcount Detail'!T28</f>
        <v>0</v>
      </c>
      <c r="R32" s="4">
        <f>'Headcount Detail'!U28</f>
        <v>0</v>
      </c>
      <c r="S32" s="4">
        <f>'Headcount Detail'!V28</f>
        <v>0</v>
      </c>
      <c r="T32" s="4">
        <f>'Headcount Detail'!W28</f>
        <v>0</v>
      </c>
      <c r="U32" s="4">
        <f>'Headcount Detail'!X28</f>
        <v>0</v>
      </c>
      <c r="V32" s="4">
        <f>'Headcount Detail'!Y28</f>
        <v>0</v>
      </c>
      <c r="W32" s="4">
        <f>'Headcount Detail'!Z28</f>
        <v>0</v>
      </c>
      <c r="X32" s="4">
        <f>'Headcount Detail'!AA28</f>
        <v>0</v>
      </c>
      <c r="Y32" s="4">
        <f>'Headcount Detail'!AB28</f>
        <v>0</v>
      </c>
      <c r="Z32" s="4">
        <f>'Headcount Detail'!AC28</f>
        <v>80000</v>
      </c>
      <c r="AA32" s="4">
        <f>'Headcount Detail'!AD28</f>
        <v>10000</v>
      </c>
      <c r="AB32" s="4">
        <f>'Headcount Detail'!AE28</f>
        <v>10000</v>
      </c>
      <c r="AC32" s="44">
        <f>'Headcount Detail'!AF28</f>
        <v>0</v>
      </c>
      <c r="AD32" s="69">
        <f>'Headcount Detail'!AG28</f>
        <v>100000</v>
      </c>
      <c r="AE32" s="4">
        <f>'Headcount Detail'!AH28</f>
        <v>0</v>
      </c>
      <c r="AF32" s="4">
        <f>'Headcount Detail'!AI28</f>
        <v>0</v>
      </c>
      <c r="AG32" s="4">
        <f>'Headcount Detail'!AJ28</f>
        <v>0</v>
      </c>
      <c r="AH32" s="4">
        <f>'Headcount Detail'!AK28</f>
        <v>0</v>
      </c>
      <c r="AI32" s="4">
        <f>'Headcount Detail'!AL28</f>
        <v>0</v>
      </c>
      <c r="AJ32" s="4">
        <f>'Headcount Detail'!AM28</f>
        <v>100000</v>
      </c>
    </row>
    <row r="33" spans="1:36" x14ac:dyDescent="0.2">
      <c r="A33" s="56" t="s">
        <v>48</v>
      </c>
      <c r="B33" s="11">
        <f>'Headcount Detail'!E29</f>
        <v>61062.5</v>
      </c>
      <c r="C33" s="11">
        <f>'Headcount Detail'!F29</f>
        <v>67937.5</v>
      </c>
      <c r="D33" s="11">
        <f>'Headcount Detail'!G29</f>
        <v>251937.5</v>
      </c>
      <c r="E33" s="11">
        <f>'Headcount Detail'!H29</f>
        <v>201937.5</v>
      </c>
      <c r="F33" s="11">
        <f>'Headcount Detail'!I29</f>
        <v>232187.5</v>
      </c>
      <c r="G33" s="11">
        <f>'Headcount Detail'!J29</f>
        <v>222187.5</v>
      </c>
      <c r="H33" s="11">
        <f>'Headcount Detail'!K29</f>
        <v>249062.5</v>
      </c>
      <c r="I33" s="11">
        <f>'Headcount Detail'!L29</f>
        <v>239062.5</v>
      </c>
      <c r="J33" s="11">
        <f>'Headcount Detail'!M29</f>
        <v>239062.5</v>
      </c>
      <c r="K33" s="11">
        <f>'Headcount Detail'!N29</f>
        <v>239062.5</v>
      </c>
      <c r="L33" s="11">
        <f>'Headcount Detail'!O29</f>
        <v>239062.5</v>
      </c>
      <c r="M33" s="46">
        <f>'Headcount Detail'!P29</f>
        <v>239062.5</v>
      </c>
      <c r="N33" s="11">
        <f>'Headcount Detail'!Q29</f>
        <v>239062.5</v>
      </c>
      <c r="O33" s="11">
        <f>'Headcount Detail'!R29</f>
        <v>239062.5</v>
      </c>
      <c r="P33" s="11">
        <f>'Headcount Detail'!S29</f>
        <v>239062.5</v>
      </c>
      <c r="Q33" s="11">
        <f>'Headcount Detail'!T29</f>
        <v>239062.5</v>
      </c>
      <c r="R33" s="11">
        <f>'Headcount Detail'!U29</f>
        <v>239062.5</v>
      </c>
      <c r="S33" s="11">
        <f>'Headcount Detail'!V29</f>
        <v>239062.5</v>
      </c>
      <c r="T33" s="11">
        <f>'Headcount Detail'!W29</f>
        <v>239062.5</v>
      </c>
      <c r="U33" s="11">
        <f>'Headcount Detail'!X29</f>
        <v>239062.5</v>
      </c>
      <c r="V33" s="11">
        <f>'Headcount Detail'!Y29</f>
        <v>239062.5</v>
      </c>
      <c r="W33" s="11">
        <f>'Headcount Detail'!Z29</f>
        <v>239062.5</v>
      </c>
      <c r="X33" s="11">
        <f>'Headcount Detail'!AA29</f>
        <v>239062.5</v>
      </c>
      <c r="Y33" s="11">
        <f>'Headcount Detail'!AB29</f>
        <v>239062.5</v>
      </c>
      <c r="Z33" s="11">
        <f>'Headcount Detail'!AC29</f>
        <v>380937.5</v>
      </c>
      <c r="AA33" s="11">
        <f>'Headcount Detail'!AD29</f>
        <v>656312.5</v>
      </c>
      <c r="AB33" s="11">
        <f>'Headcount Detail'!AE29</f>
        <v>727187.5</v>
      </c>
      <c r="AC33" s="46">
        <f>'Headcount Detail'!AF29</f>
        <v>717187.5</v>
      </c>
      <c r="AD33" s="71">
        <f>'Headcount Detail'!AG29</f>
        <v>2481625</v>
      </c>
      <c r="AE33" s="11">
        <f>'Headcount Detail'!AH29</f>
        <v>717187.5</v>
      </c>
      <c r="AF33" s="11">
        <f>'Headcount Detail'!AI29</f>
        <v>717187.5</v>
      </c>
      <c r="AG33" s="11">
        <f>'Headcount Detail'!AJ29</f>
        <v>717187.5</v>
      </c>
      <c r="AH33" s="11">
        <f>'Headcount Detail'!AK29</f>
        <v>717187.5</v>
      </c>
      <c r="AI33" s="11">
        <f>'Headcount Detail'!AL29</f>
        <v>2868750</v>
      </c>
      <c r="AJ33" s="11">
        <f>'Headcount Detail'!AM29</f>
        <v>5350375</v>
      </c>
    </row>
    <row r="34" spans="1:36" hidden="1" x14ac:dyDescent="0.2">
      <c r="A34" s="57" t="s">
        <v>49</v>
      </c>
      <c r="B34" s="7">
        <f>'Headcount Detail'!E30</f>
        <v>61062.5</v>
      </c>
      <c r="C34" s="7">
        <f>'Headcount Detail'!F30</f>
        <v>129000</v>
      </c>
      <c r="D34" s="7">
        <f>'Headcount Detail'!G30</f>
        <v>380937.5</v>
      </c>
      <c r="E34" s="7">
        <f>'Headcount Detail'!H30</f>
        <v>582875</v>
      </c>
      <c r="F34" s="7">
        <f>'Headcount Detail'!I30</f>
        <v>815062.5</v>
      </c>
      <c r="G34" s="7">
        <f>'Headcount Detail'!J30</f>
        <v>1037250</v>
      </c>
      <c r="H34" s="7">
        <f>'Headcount Detail'!K30</f>
        <v>1286312.5</v>
      </c>
      <c r="I34" s="7">
        <f>'Headcount Detail'!L30</f>
        <v>1525375</v>
      </c>
      <c r="J34" s="7">
        <f>'Headcount Detail'!M30</f>
        <v>1764437.5</v>
      </c>
      <c r="K34" s="7">
        <f>'Headcount Detail'!N30</f>
        <v>2003500</v>
      </c>
      <c r="L34" s="7">
        <f>'Headcount Detail'!O30</f>
        <v>2242562.5</v>
      </c>
      <c r="M34" s="47">
        <f>'Headcount Detail'!P30</f>
        <v>2481625</v>
      </c>
      <c r="N34" s="7">
        <f>'Headcount Detail'!Q30</f>
        <v>2720687.5</v>
      </c>
      <c r="O34" s="7">
        <f>'Headcount Detail'!R30</f>
        <v>2959750</v>
      </c>
      <c r="P34" s="7">
        <f>'Headcount Detail'!S30</f>
        <v>3198812.5</v>
      </c>
      <c r="Q34" s="7">
        <f>'Headcount Detail'!T30</f>
        <v>3437875</v>
      </c>
      <c r="R34" s="7">
        <f>'Headcount Detail'!U30</f>
        <v>3676937.5</v>
      </c>
      <c r="S34" s="7">
        <f>'Headcount Detail'!V30</f>
        <v>3916000</v>
      </c>
      <c r="T34" s="7">
        <f>'Headcount Detail'!W30</f>
        <v>4155062.5</v>
      </c>
      <c r="U34" s="7">
        <f>'Headcount Detail'!X30</f>
        <v>4394125</v>
      </c>
      <c r="V34" s="7">
        <f>'Headcount Detail'!Y30</f>
        <v>4633187.5</v>
      </c>
      <c r="W34" s="7">
        <f>'Headcount Detail'!Z30</f>
        <v>4872250</v>
      </c>
      <c r="X34" s="7">
        <f>'Headcount Detail'!AA30</f>
        <v>5111312.5</v>
      </c>
      <c r="Y34" s="7">
        <f>'Headcount Detail'!AB30</f>
        <v>5350375</v>
      </c>
      <c r="Z34" s="7">
        <f>'Headcount Detail'!AC30</f>
        <v>380937.5</v>
      </c>
      <c r="AA34" s="7">
        <f>'Headcount Detail'!AD30</f>
        <v>1037250</v>
      </c>
      <c r="AB34" s="7">
        <f>'Headcount Detail'!AE30</f>
        <v>1764437.5</v>
      </c>
      <c r="AC34" s="47">
        <f>'Headcount Detail'!AF30</f>
        <v>2481625</v>
      </c>
      <c r="AD34" s="72">
        <f>'Headcount Detail'!AG30</f>
        <v>2481625</v>
      </c>
      <c r="AE34" s="7">
        <f>'Headcount Detail'!AH30</f>
        <v>3198812.5</v>
      </c>
      <c r="AF34" s="7">
        <f>'Headcount Detail'!AI30</f>
        <v>3916000</v>
      </c>
      <c r="AG34" s="7">
        <f>'Headcount Detail'!AJ30</f>
        <v>4633187.5</v>
      </c>
      <c r="AH34" s="7">
        <f>'Headcount Detail'!AK30</f>
        <v>5350375</v>
      </c>
      <c r="AI34" s="7">
        <f>'Headcount Detail'!AL30</f>
        <v>5350375</v>
      </c>
      <c r="AJ34" s="7">
        <f>'Headcount Detail'!AM30</f>
        <v>5350375</v>
      </c>
    </row>
    <row r="36" spans="1:36" ht="16" x14ac:dyDescent="0.2">
      <c r="A36" s="58" t="s">
        <v>50</v>
      </c>
    </row>
    <row r="37" spans="1:36" hidden="1" outlineLevel="1" collapsed="1" x14ac:dyDescent="0.2">
      <c r="A37" s="42" t="str">
        <f>"  "&amp;'Infrastructure Detail'!A4</f>
        <v xml:space="preserve">  Cloud Infrastructure (AWS/GCP)</v>
      </c>
      <c r="B37" s="4">
        <f>'Infrastructure Detail'!E4</f>
        <v>5000</v>
      </c>
      <c r="C37" s="4">
        <f>'Infrastructure Detail'!F4</f>
        <v>5500</v>
      </c>
      <c r="D37" s="4">
        <f>'Infrastructure Detail'!G4</f>
        <v>6050.0000000000009</v>
      </c>
      <c r="E37" s="4">
        <f>'Infrastructure Detail'!H4</f>
        <v>6655.0000000000018</v>
      </c>
      <c r="F37" s="4">
        <f>'Infrastructure Detail'!I4</f>
        <v>7320.5000000000018</v>
      </c>
      <c r="G37" s="4">
        <f>'Infrastructure Detail'!J4</f>
        <v>8052.5500000000029</v>
      </c>
      <c r="H37" s="4">
        <f>'Infrastructure Detail'!K4</f>
        <v>8857.8050000000039</v>
      </c>
      <c r="I37" s="4">
        <f>'Infrastructure Detail'!L4</f>
        <v>9743.5855000000065</v>
      </c>
      <c r="J37" s="4">
        <f>'Infrastructure Detail'!M4</f>
        <v>10717.944050000006</v>
      </c>
      <c r="K37" s="4">
        <f>'Infrastructure Detail'!N4</f>
        <v>11789.738455000008</v>
      </c>
      <c r="L37" s="4">
        <f>'Infrastructure Detail'!O4</f>
        <v>12968.712300500008</v>
      </c>
      <c r="M37" s="44">
        <f>'Infrastructure Detail'!P4</f>
        <v>14265.583530550013</v>
      </c>
      <c r="N37" s="4">
        <f>'Infrastructure Detail'!Q4</f>
        <v>15692.141883605012</v>
      </c>
      <c r="O37" s="4">
        <f>'Infrastructure Detail'!R4</f>
        <v>17261.356071965514</v>
      </c>
      <c r="P37" s="4">
        <f>'Infrastructure Detail'!S4</f>
        <v>18987.491679162071</v>
      </c>
      <c r="Q37" s="4">
        <f>'Infrastructure Detail'!T4</f>
        <v>20886.240847078276</v>
      </c>
      <c r="R37" s="4">
        <f>'Infrastructure Detail'!U4</f>
        <v>22974.864931786105</v>
      </c>
      <c r="S37" s="4">
        <f>'Infrastructure Detail'!V4</f>
        <v>25272.351424964716</v>
      </c>
      <c r="T37" s="4">
        <f>'Infrastructure Detail'!W4</f>
        <v>27799.586567461189</v>
      </c>
      <c r="U37" s="4">
        <f>'Infrastructure Detail'!X4</f>
        <v>30579.545224207315</v>
      </c>
      <c r="V37" s="4">
        <f>'Infrastructure Detail'!Y4</f>
        <v>33637.499746628047</v>
      </c>
      <c r="W37" s="4">
        <f>'Infrastructure Detail'!Z4</f>
        <v>37001.249721290857</v>
      </c>
      <c r="X37" s="4">
        <f>'Infrastructure Detail'!AA4</f>
        <v>40701.374693419944</v>
      </c>
      <c r="Y37" s="4">
        <f>'Infrastructure Detail'!AB4</f>
        <v>44771.512162761945</v>
      </c>
      <c r="Z37" s="4">
        <f>'Infrastructure Detail'!AC4</f>
        <v>16550</v>
      </c>
      <c r="AA37" s="4">
        <f>'Infrastructure Detail'!AD4</f>
        <v>22028.050000000007</v>
      </c>
      <c r="AB37" s="4">
        <f>'Infrastructure Detail'!AE4</f>
        <v>29319.334550000014</v>
      </c>
      <c r="AC37" s="44">
        <f>'Infrastructure Detail'!AF4</f>
        <v>39024.034286050031</v>
      </c>
      <c r="AD37" s="69">
        <f>'Infrastructure Detail'!AG4</f>
        <v>106921.41883605006</v>
      </c>
      <c r="AE37" s="4">
        <f>'Infrastructure Detail'!AH4</f>
        <v>51940.989634732599</v>
      </c>
      <c r="AF37" s="4">
        <f>'Infrastructure Detail'!AI4</f>
        <v>69133.457203829093</v>
      </c>
      <c r="AG37" s="4">
        <f>'Infrastructure Detail'!AJ4</f>
        <v>92016.631538296555</v>
      </c>
      <c r="AH37" s="4">
        <f>'Infrastructure Detail'!AK4</f>
        <v>122474.13657747273</v>
      </c>
      <c r="AI37" s="4">
        <f>'Infrastructure Detail'!AL4</f>
        <v>335565.21495433099</v>
      </c>
      <c r="AJ37" s="4">
        <f>'Infrastructure Detail'!AM4</f>
        <v>442486.63379038102</v>
      </c>
    </row>
    <row r="38" spans="1:36" hidden="1" outlineLevel="1" collapsed="1" x14ac:dyDescent="0.2">
      <c r="A38" s="42" t="str">
        <f>"  "&amp;'Infrastructure Detail'!A5</f>
        <v xml:space="preserve">  Edge LLM Development Tools</v>
      </c>
      <c r="B38" s="4">
        <f>'Infrastructure Detail'!E5</f>
        <v>0</v>
      </c>
      <c r="C38" s="4">
        <f>'Infrastructure Detail'!F5</f>
        <v>0</v>
      </c>
      <c r="D38" s="4">
        <f>'Infrastructure Detail'!G5</f>
        <v>0</v>
      </c>
      <c r="E38" s="4">
        <f>'Infrastructure Detail'!H5</f>
        <v>0</v>
      </c>
      <c r="F38" s="4">
        <f>'Infrastructure Detail'!I5</f>
        <v>0</v>
      </c>
      <c r="G38" s="4">
        <f>'Infrastructure Detail'!J5</f>
        <v>0</v>
      </c>
      <c r="H38" s="4">
        <f>'Infrastructure Detail'!K5</f>
        <v>0</v>
      </c>
      <c r="I38" s="4">
        <f>'Infrastructure Detail'!L5</f>
        <v>0</v>
      </c>
      <c r="J38" s="4">
        <f>'Infrastructure Detail'!M5</f>
        <v>0</v>
      </c>
      <c r="K38" s="4">
        <f>'Infrastructure Detail'!N5</f>
        <v>0</v>
      </c>
      <c r="L38" s="4">
        <f>'Infrastructure Detail'!O5</f>
        <v>0</v>
      </c>
      <c r="M38" s="44">
        <f>'Infrastructure Detail'!P5</f>
        <v>0</v>
      </c>
      <c r="N38" s="4">
        <f>'Infrastructure Detail'!Q5</f>
        <v>0</v>
      </c>
      <c r="O38" s="4">
        <f>'Infrastructure Detail'!R5</f>
        <v>0</v>
      </c>
      <c r="P38" s="4">
        <f>'Infrastructure Detail'!S5</f>
        <v>0</v>
      </c>
      <c r="Q38" s="4">
        <f>'Infrastructure Detail'!T5</f>
        <v>0</v>
      </c>
      <c r="R38" s="4">
        <f>'Infrastructure Detail'!U5</f>
        <v>0</v>
      </c>
      <c r="S38" s="4">
        <f>'Infrastructure Detail'!V5</f>
        <v>0</v>
      </c>
      <c r="T38" s="4">
        <f>'Infrastructure Detail'!W5</f>
        <v>0</v>
      </c>
      <c r="U38" s="4">
        <f>'Infrastructure Detail'!X5</f>
        <v>0</v>
      </c>
      <c r="V38" s="4">
        <f>'Infrastructure Detail'!Y5</f>
        <v>0</v>
      </c>
      <c r="W38" s="4">
        <f>'Infrastructure Detail'!Z5</f>
        <v>0</v>
      </c>
      <c r="X38" s="4">
        <f>'Infrastructure Detail'!AA5</f>
        <v>0</v>
      </c>
      <c r="Y38" s="4">
        <f>'Infrastructure Detail'!AB5</f>
        <v>0</v>
      </c>
      <c r="Z38" s="4">
        <f>'Infrastructure Detail'!AC5</f>
        <v>0</v>
      </c>
      <c r="AA38" s="4">
        <f>'Infrastructure Detail'!AD5</f>
        <v>0</v>
      </c>
      <c r="AB38" s="4">
        <f>'Infrastructure Detail'!AE5</f>
        <v>0</v>
      </c>
      <c r="AC38" s="44">
        <f>'Infrastructure Detail'!AF5</f>
        <v>0</v>
      </c>
      <c r="AD38" s="69">
        <f>'Infrastructure Detail'!AG5</f>
        <v>0</v>
      </c>
      <c r="AE38" s="4">
        <f>'Infrastructure Detail'!AH5</f>
        <v>0</v>
      </c>
      <c r="AF38" s="4">
        <f>'Infrastructure Detail'!AI5</f>
        <v>0</v>
      </c>
      <c r="AG38" s="4">
        <f>'Infrastructure Detail'!AJ5</f>
        <v>0</v>
      </c>
      <c r="AH38" s="4">
        <f>'Infrastructure Detail'!AK5</f>
        <v>0</v>
      </c>
      <c r="AI38" s="4">
        <f>'Infrastructure Detail'!AL5</f>
        <v>0</v>
      </c>
      <c r="AJ38" s="4">
        <f>'Infrastructure Detail'!AM5</f>
        <v>0</v>
      </c>
    </row>
    <row r="39" spans="1:36" hidden="1" outlineLevel="1" collapsed="1" x14ac:dyDescent="0.2">
      <c r="A39" s="42" t="str">
        <f>"  "&amp;'Infrastructure Detail'!A6</f>
        <v xml:space="preserve">  Development Tools &amp; Software</v>
      </c>
      <c r="B39" s="4">
        <f>'Infrastructure Detail'!E6</f>
        <v>2500</v>
      </c>
      <c r="C39" s="4">
        <f>'Infrastructure Detail'!F6</f>
        <v>2575</v>
      </c>
      <c r="D39" s="4">
        <f>'Infrastructure Detail'!G6</f>
        <v>2652.25</v>
      </c>
      <c r="E39" s="4">
        <f>'Infrastructure Detail'!H6</f>
        <v>2731.8175000000001</v>
      </c>
      <c r="F39" s="4">
        <f>'Infrastructure Detail'!I6</f>
        <v>2813.7720249999998</v>
      </c>
      <c r="G39" s="4">
        <f>'Infrastructure Detail'!J6</f>
        <v>2898.1851857499996</v>
      </c>
      <c r="H39" s="4">
        <f>'Infrastructure Detail'!K6</f>
        <v>2985.1307413224999</v>
      </c>
      <c r="I39" s="4">
        <f>'Infrastructure Detail'!L6</f>
        <v>3074.684663562175</v>
      </c>
      <c r="J39" s="4">
        <f>'Infrastructure Detail'!M6</f>
        <v>3166.9252034690398</v>
      </c>
      <c r="K39" s="4">
        <f>'Infrastructure Detail'!N6</f>
        <v>3261.932959573111</v>
      </c>
      <c r="L39" s="4">
        <f>'Infrastructure Detail'!O6</f>
        <v>3359.7909483603044</v>
      </c>
      <c r="M39" s="44">
        <f>'Infrastructure Detail'!P6</f>
        <v>3460.5846768111137</v>
      </c>
      <c r="N39" s="4">
        <f>'Infrastructure Detail'!Q6</f>
        <v>3564.4022171154465</v>
      </c>
      <c r="O39" s="4">
        <f>'Infrastructure Detail'!R6</f>
        <v>3671.3342836289098</v>
      </c>
      <c r="P39" s="4">
        <f>'Infrastructure Detail'!S6</f>
        <v>3781.4743121377774</v>
      </c>
      <c r="Q39" s="4">
        <f>'Infrastructure Detail'!T6</f>
        <v>3894.918541501911</v>
      </c>
      <c r="R39" s="4">
        <f>'Infrastructure Detail'!U6</f>
        <v>4011.7660977469677</v>
      </c>
      <c r="S39" s="4">
        <f>'Infrastructure Detail'!V6</f>
        <v>4132.1190806793766</v>
      </c>
      <c r="T39" s="4">
        <f>'Infrastructure Detail'!W6</f>
        <v>4256.0826530997583</v>
      </c>
      <c r="U39" s="4">
        <f>'Infrastructure Detail'!X6</f>
        <v>4383.7651326927507</v>
      </c>
      <c r="V39" s="4">
        <f>'Infrastructure Detail'!Y6</f>
        <v>4515.2780866735329</v>
      </c>
      <c r="W39" s="4">
        <f>'Infrastructure Detail'!Z6</f>
        <v>4650.7364292737384</v>
      </c>
      <c r="X39" s="4">
        <f>'Infrastructure Detail'!AA6</f>
        <v>4790.2585221519512</v>
      </c>
      <c r="Y39" s="4">
        <f>'Infrastructure Detail'!AB6</f>
        <v>4933.9662778165102</v>
      </c>
      <c r="Z39" s="4">
        <f>'Infrastructure Detail'!AC6</f>
        <v>7727.25</v>
      </c>
      <c r="AA39" s="4">
        <f>'Infrastructure Detail'!AD6</f>
        <v>8443.7747107499999</v>
      </c>
      <c r="AB39" s="4">
        <f>'Infrastructure Detail'!AE6</f>
        <v>9226.7406083537153</v>
      </c>
      <c r="AC39" s="44">
        <f>'Infrastructure Detail'!AF6</f>
        <v>10082.308584744529</v>
      </c>
      <c r="AD39" s="69">
        <f>'Infrastructure Detail'!AG6</f>
        <v>35480.073903848242</v>
      </c>
      <c r="AE39" s="4">
        <f>'Infrastructure Detail'!AH6</f>
        <v>11017.210812882135</v>
      </c>
      <c r="AF39" s="4">
        <f>'Infrastructure Detail'!AI6</f>
        <v>12038.803719928255</v>
      </c>
      <c r="AG39" s="4">
        <f>'Infrastructure Detail'!AJ6</f>
        <v>13155.125872466044</v>
      </c>
      <c r="AH39" s="4">
        <f>'Infrastructure Detail'!AK6</f>
        <v>14374.961229242199</v>
      </c>
      <c r="AI39" s="4">
        <f>'Infrastructure Detail'!AL6</f>
        <v>50586.101634518636</v>
      </c>
      <c r="AJ39" s="4">
        <f>'Infrastructure Detail'!AM6</f>
        <v>86066.175538366879</v>
      </c>
    </row>
    <row r="40" spans="1:36" hidden="1" outlineLevel="1" collapsed="1" x14ac:dyDescent="0.2">
      <c r="A40" s="42" t="str">
        <f>"  "&amp;'Infrastructure Detail'!A7</f>
        <v xml:space="preserve">  Security &amp; Compliance Tools</v>
      </c>
      <c r="B40" s="4">
        <f>'Infrastructure Detail'!E7</f>
        <v>0</v>
      </c>
      <c r="C40" s="4">
        <f>'Infrastructure Detail'!F7</f>
        <v>0</v>
      </c>
      <c r="D40" s="4">
        <f>'Infrastructure Detail'!G7</f>
        <v>0</v>
      </c>
      <c r="E40" s="4">
        <f>'Infrastructure Detail'!H7</f>
        <v>0</v>
      </c>
      <c r="F40" s="4">
        <f>'Infrastructure Detail'!I7</f>
        <v>0</v>
      </c>
      <c r="G40" s="4">
        <f>'Infrastructure Detail'!J7</f>
        <v>0</v>
      </c>
      <c r="H40" s="4">
        <f>'Infrastructure Detail'!K7</f>
        <v>0</v>
      </c>
      <c r="I40" s="4">
        <f>'Infrastructure Detail'!L7</f>
        <v>0</v>
      </c>
      <c r="J40" s="4">
        <f>'Infrastructure Detail'!M7</f>
        <v>0</v>
      </c>
      <c r="K40" s="4">
        <f>'Infrastructure Detail'!N7</f>
        <v>0</v>
      </c>
      <c r="L40" s="4">
        <f>'Infrastructure Detail'!O7</f>
        <v>0</v>
      </c>
      <c r="M40" s="44">
        <f>'Infrastructure Detail'!P7</f>
        <v>0</v>
      </c>
      <c r="N40" s="4">
        <f>'Infrastructure Detail'!Q7</f>
        <v>0</v>
      </c>
      <c r="O40" s="4">
        <f>'Infrastructure Detail'!R7</f>
        <v>0</v>
      </c>
      <c r="P40" s="4">
        <f>'Infrastructure Detail'!S7</f>
        <v>0</v>
      </c>
      <c r="Q40" s="4">
        <f>'Infrastructure Detail'!T7</f>
        <v>0</v>
      </c>
      <c r="R40" s="4">
        <f>'Infrastructure Detail'!U7</f>
        <v>0</v>
      </c>
      <c r="S40" s="4">
        <f>'Infrastructure Detail'!V7</f>
        <v>0</v>
      </c>
      <c r="T40" s="4">
        <f>'Infrastructure Detail'!W7</f>
        <v>0</v>
      </c>
      <c r="U40" s="4">
        <f>'Infrastructure Detail'!X7</f>
        <v>0</v>
      </c>
      <c r="V40" s="4">
        <f>'Infrastructure Detail'!Y7</f>
        <v>0</v>
      </c>
      <c r="W40" s="4">
        <f>'Infrastructure Detail'!Z7</f>
        <v>0</v>
      </c>
      <c r="X40" s="4">
        <f>'Infrastructure Detail'!AA7</f>
        <v>0</v>
      </c>
      <c r="Y40" s="4">
        <f>'Infrastructure Detail'!AB7</f>
        <v>0</v>
      </c>
      <c r="Z40" s="4">
        <f>'Infrastructure Detail'!AC7</f>
        <v>0</v>
      </c>
      <c r="AA40" s="4">
        <f>'Infrastructure Detail'!AD7</f>
        <v>0</v>
      </c>
      <c r="AB40" s="4">
        <f>'Infrastructure Detail'!AE7</f>
        <v>0</v>
      </c>
      <c r="AC40" s="44">
        <f>'Infrastructure Detail'!AF7</f>
        <v>0</v>
      </c>
      <c r="AD40" s="69">
        <f>'Infrastructure Detail'!AG7</f>
        <v>0</v>
      </c>
      <c r="AE40" s="4">
        <f>'Infrastructure Detail'!AH7</f>
        <v>0</v>
      </c>
      <c r="AF40" s="4">
        <f>'Infrastructure Detail'!AI7</f>
        <v>0</v>
      </c>
      <c r="AG40" s="4">
        <f>'Infrastructure Detail'!AJ7</f>
        <v>0</v>
      </c>
      <c r="AH40" s="4">
        <f>'Infrastructure Detail'!AK7</f>
        <v>0</v>
      </c>
      <c r="AI40" s="4">
        <f>'Infrastructure Detail'!AL7</f>
        <v>0</v>
      </c>
      <c r="AJ40" s="4">
        <f>'Infrastructure Detail'!AM7</f>
        <v>0</v>
      </c>
    </row>
    <row r="41" spans="1:36" hidden="1" outlineLevel="1" collapsed="1" x14ac:dyDescent="0.2">
      <c r="A41" s="42" t="str">
        <f>"  "&amp;'Infrastructure Detail'!A8</f>
        <v xml:space="preserve">  Data Storage &amp; Processing</v>
      </c>
      <c r="B41" s="4">
        <f>'Infrastructure Detail'!E8</f>
        <v>0</v>
      </c>
      <c r="C41" s="4">
        <f>'Infrastructure Detail'!F8</f>
        <v>0</v>
      </c>
      <c r="D41" s="4">
        <f>'Infrastructure Detail'!G8</f>
        <v>0</v>
      </c>
      <c r="E41" s="4">
        <f>'Infrastructure Detail'!H8</f>
        <v>0</v>
      </c>
      <c r="F41" s="4">
        <f>'Infrastructure Detail'!I8</f>
        <v>0</v>
      </c>
      <c r="G41" s="4">
        <f>'Infrastructure Detail'!J8</f>
        <v>0</v>
      </c>
      <c r="H41" s="4">
        <f>'Infrastructure Detail'!K8</f>
        <v>0</v>
      </c>
      <c r="I41" s="4">
        <f>'Infrastructure Detail'!L8</f>
        <v>0</v>
      </c>
      <c r="J41" s="4">
        <f>'Infrastructure Detail'!M8</f>
        <v>0</v>
      </c>
      <c r="K41" s="4">
        <f>'Infrastructure Detail'!N8</f>
        <v>0</v>
      </c>
      <c r="L41" s="4">
        <f>'Infrastructure Detail'!O8</f>
        <v>0</v>
      </c>
      <c r="M41" s="44">
        <f>'Infrastructure Detail'!P8</f>
        <v>0</v>
      </c>
      <c r="N41" s="4">
        <f>'Infrastructure Detail'!Q8</f>
        <v>0</v>
      </c>
      <c r="O41" s="4">
        <f>'Infrastructure Detail'!R8</f>
        <v>0</v>
      </c>
      <c r="P41" s="4">
        <f>'Infrastructure Detail'!S8</f>
        <v>0</v>
      </c>
      <c r="Q41" s="4">
        <f>'Infrastructure Detail'!T8</f>
        <v>0</v>
      </c>
      <c r="R41" s="4">
        <f>'Infrastructure Detail'!U8</f>
        <v>0</v>
      </c>
      <c r="S41" s="4">
        <f>'Infrastructure Detail'!V8</f>
        <v>0</v>
      </c>
      <c r="T41" s="4">
        <f>'Infrastructure Detail'!W8</f>
        <v>0</v>
      </c>
      <c r="U41" s="4">
        <f>'Infrastructure Detail'!X8</f>
        <v>0</v>
      </c>
      <c r="V41" s="4">
        <f>'Infrastructure Detail'!Y8</f>
        <v>0</v>
      </c>
      <c r="W41" s="4">
        <f>'Infrastructure Detail'!Z8</f>
        <v>0</v>
      </c>
      <c r="X41" s="4">
        <f>'Infrastructure Detail'!AA8</f>
        <v>0</v>
      </c>
      <c r="Y41" s="4">
        <f>'Infrastructure Detail'!AB8</f>
        <v>0</v>
      </c>
      <c r="Z41" s="4">
        <f>'Infrastructure Detail'!AC8</f>
        <v>0</v>
      </c>
      <c r="AA41" s="4">
        <f>'Infrastructure Detail'!AD8</f>
        <v>0</v>
      </c>
      <c r="AB41" s="4">
        <f>'Infrastructure Detail'!AE8</f>
        <v>0</v>
      </c>
      <c r="AC41" s="44">
        <f>'Infrastructure Detail'!AF8</f>
        <v>0</v>
      </c>
      <c r="AD41" s="69">
        <f>'Infrastructure Detail'!AG8</f>
        <v>0</v>
      </c>
      <c r="AE41" s="4">
        <f>'Infrastructure Detail'!AH8</f>
        <v>0</v>
      </c>
      <c r="AF41" s="4">
        <f>'Infrastructure Detail'!AI8</f>
        <v>0</v>
      </c>
      <c r="AG41" s="4">
        <f>'Infrastructure Detail'!AJ8</f>
        <v>0</v>
      </c>
      <c r="AH41" s="4">
        <f>'Infrastructure Detail'!AK8</f>
        <v>0</v>
      </c>
      <c r="AI41" s="4">
        <f>'Infrastructure Detail'!AL8</f>
        <v>0</v>
      </c>
      <c r="AJ41" s="4">
        <f>'Infrastructure Detail'!AM8</f>
        <v>0</v>
      </c>
    </row>
    <row r="42" spans="1:36" hidden="1" outlineLevel="1" collapsed="1" x14ac:dyDescent="0.2">
      <c r="A42" s="42" t="str">
        <f>"  "&amp;'Infrastructure Detail'!A9</f>
        <v xml:space="preserve">  DevOps &amp; Monitoring</v>
      </c>
      <c r="B42" s="4">
        <f>'Infrastructure Detail'!E9</f>
        <v>0</v>
      </c>
      <c r="C42" s="4">
        <f>'Infrastructure Detail'!F9</f>
        <v>0</v>
      </c>
      <c r="D42" s="4">
        <f>'Infrastructure Detail'!G9</f>
        <v>0</v>
      </c>
      <c r="E42" s="4">
        <f>'Infrastructure Detail'!H9</f>
        <v>0</v>
      </c>
      <c r="F42" s="4">
        <f>'Infrastructure Detail'!I9</f>
        <v>0</v>
      </c>
      <c r="G42" s="4">
        <f>'Infrastructure Detail'!J9</f>
        <v>0</v>
      </c>
      <c r="H42" s="4">
        <f>'Infrastructure Detail'!K9</f>
        <v>0</v>
      </c>
      <c r="I42" s="4">
        <f>'Infrastructure Detail'!L9</f>
        <v>0</v>
      </c>
      <c r="J42" s="4">
        <f>'Infrastructure Detail'!M9</f>
        <v>0</v>
      </c>
      <c r="K42" s="4">
        <f>'Infrastructure Detail'!N9</f>
        <v>0</v>
      </c>
      <c r="L42" s="4">
        <f>'Infrastructure Detail'!O9</f>
        <v>0</v>
      </c>
      <c r="M42" s="44">
        <f>'Infrastructure Detail'!P9</f>
        <v>0</v>
      </c>
      <c r="N42" s="4">
        <f>'Infrastructure Detail'!Q9</f>
        <v>0</v>
      </c>
      <c r="O42" s="4">
        <f>'Infrastructure Detail'!R9</f>
        <v>0</v>
      </c>
      <c r="P42" s="4">
        <f>'Infrastructure Detail'!S9</f>
        <v>0</v>
      </c>
      <c r="Q42" s="4">
        <f>'Infrastructure Detail'!T9</f>
        <v>0</v>
      </c>
      <c r="R42" s="4">
        <f>'Infrastructure Detail'!U9</f>
        <v>0</v>
      </c>
      <c r="S42" s="4">
        <f>'Infrastructure Detail'!V9</f>
        <v>0</v>
      </c>
      <c r="T42" s="4">
        <f>'Infrastructure Detail'!W9</f>
        <v>0</v>
      </c>
      <c r="U42" s="4">
        <f>'Infrastructure Detail'!X9</f>
        <v>0</v>
      </c>
      <c r="V42" s="4">
        <f>'Infrastructure Detail'!Y9</f>
        <v>0</v>
      </c>
      <c r="W42" s="4">
        <f>'Infrastructure Detail'!Z9</f>
        <v>0</v>
      </c>
      <c r="X42" s="4">
        <f>'Infrastructure Detail'!AA9</f>
        <v>0</v>
      </c>
      <c r="Y42" s="4">
        <f>'Infrastructure Detail'!AB9</f>
        <v>0</v>
      </c>
      <c r="Z42" s="4">
        <f>'Infrastructure Detail'!AC9</f>
        <v>0</v>
      </c>
      <c r="AA42" s="4">
        <f>'Infrastructure Detail'!AD9</f>
        <v>0</v>
      </c>
      <c r="AB42" s="4">
        <f>'Infrastructure Detail'!AE9</f>
        <v>0</v>
      </c>
      <c r="AC42" s="44">
        <f>'Infrastructure Detail'!AF9</f>
        <v>0</v>
      </c>
      <c r="AD42" s="69">
        <f>'Infrastructure Detail'!AG9</f>
        <v>0</v>
      </c>
      <c r="AE42" s="4">
        <f>'Infrastructure Detail'!AH9</f>
        <v>0</v>
      </c>
      <c r="AF42" s="4">
        <f>'Infrastructure Detail'!AI9</f>
        <v>0</v>
      </c>
      <c r="AG42" s="4">
        <f>'Infrastructure Detail'!AJ9</f>
        <v>0</v>
      </c>
      <c r="AH42" s="4">
        <f>'Infrastructure Detail'!AK9</f>
        <v>0</v>
      </c>
      <c r="AI42" s="4">
        <f>'Infrastructure Detail'!AL9</f>
        <v>0</v>
      </c>
      <c r="AJ42" s="4">
        <f>'Infrastructure Detail'!AM9</f>
        <v>0</v>
      </c>
    </row>
    <row r="43" spans="1:36" hidden="1" outlineLevel="1" collapsed="1" x14ac:dyDescent="0.2">
      <c r="A43" s="42" t="str">
        <f>"  "&amp;'Infrastructure Detail'!A10</f>
        <v xml:space="preserve">  Office Space &amp; Equipment</v>
      </c>
      <c r="B43" s="4">
        <f>'Infrastructure Detail'!E10</f>
        <v>1000</v>
      </c>
      <c r="C43" s="4">
        <f>'Infrastructure Detail'!F10</f>
        <v>1050</v>
      </c>
      <c r="D43" s="4">
        <f>'Infrastructure Detail'!G10</f>
        <v>1102.5</v>
      </c>
      <c r="E43" s="4">
        <f>'Infrastructure Detail'!H10</f>
        <v>1157.6250000000002</v>
      </c>
      <c r="F43" s="4">
        <f>'Infrastructure Detail'!I10</f>
        <v>1215.5062499999999</v>
      </c>
      <c r="G43" s="4">
        <f>'Infrastructure Detail'!J10</f>
        <v>1276.2815625000001</v>
      </c>
      <c r="H43" s="4">
        <f>'Infrastructure Detail'!K10</f>
        <v>1340.095640625</v>
      </c>
      <c r="I43" s="4">
        <f>'Infrastructure Detail'!L10</f>
        <v>1407.1004226562502</v>
      </c>
      <c r="J43" s="4">
        <f>'Infrastructure Detail'!M10</f>
        <v>1477.4554437890627</v>
      </c>
      <c r="K43" s="4">
        <f>'Infrastructure Detail'!N10</f>
        <v>1551.3282159785158</v>
      </c>
      <c r="L43" s="4">
        <f>'Infrastructure Detail'!O10</f>
        <v>1628.8946267774415</v>
      </c>
      <c r="M43" s="44">
        <f>'Infrastructure Detail'!P10</f>
        <v>1710.3393581163139</v>
      </c>
      <c r="N43" s="4">
        <f>'Infrastructure Detail'!Q10</f>
        <v>1795.8563260221292</v>
      </c>
      <c r="O43" s="4">
        <f>'Infrastructure Detail'!R10</f>
        <v>1885.649142323236</v>
      </c>
      <c r="P43" s="4">
        <f>'Infrastructure Detail'!S10</f>
        <v>1979.9315994393974</v>
      </c>
      <c r="Q43" s="4">
        <f>'Infrastructure Detail'!T10</f>
        <v>2078.9281794113681</v>
      </c>
      <c r="R43" s="4">
        <f>'Infrastructure Detail'!U10</f>
        <v>2182.8745883819361</v>
      </c>
      <c r="S43" s="4">
        <f>'Infrastructure Detail'!V10</f>
        <v>2292.0183178010329</v>
      </c>
      <c r="T43" s="4">
        <f>'Infrastructure Detail'!W10</f>
        <v>2406.6192336910849</v>
      </c>
      <c r="U43" s="4">
        <f>'Infrastructure Detail'!X10</f>
        <v>2526.9501953756389</v>
      </c>
      <c r="V43" s="4">
        <f>'Infrastructure Detail'!Y10</f>
        <v>2653.2977051444209</v>
      </c>
      <c r="W43" s="4">
        <f>'Infrastructure Detail'!Z10</f>
        <v>2785.962590401642</v>
      </c>
      <c r="X43" s="4">
        <f>'Infrastructure Detail'!AA10</f>
        <v>2925.2607199217236</v>
      </c>
      <c r="Y43" s="4">
        <f>'Infrastructure Detail'!AB10</f>
        <v>3071.5237559178104</v>
      </c>
      <c r="Z43" s="4">
        <f>'Infrastructure Detail'!AC10</f>
        <v>3152.5</v>
      </c>
      <c r="AA43" s="4">
        <f>'Infrastructure Detail'!AD10</f>
        <v>3649.4128125000007</v>
      </c>
      <c r="AB43" s="4">
        <f>'Infrastructure Detail'!AE10</f>
        <v>4224.6515070703126</v>
      </c>
      <c r="AC43" s="44">
        <f>'Infrastructure Detail'!AF10</f>
        <v>4890.5622008722712</v>
      </c>
      <c r="AD43" s="69">
        <f>'Infrastructure Detail'!AG10</f>
        <v>15917.126520442584</v>
      </c>
      <c r="AE43" s="4">
        <f>'Infrastructure Detail'!AH10</f>
        <v>5661.4370677847628</v>
      </c>
      <c r="AF43" s="4">
        <f>'Infrastructure Detail'!AI10</f>
        <v>6553.8210855943371</v>
      </c>
      <c r="AG43" s="4">
        <f>'Infrastructure Detail'!AJ10</f>
        <v>7586.8671342111447</v>
      </c>
      <c r="AH43" s="4">
        <f>'Infrastructure Detail'!AK10</f>
        <v>8782.7470662411761</v>
      </c>
      <c r="AI43" s="4">
        <f>'Infrastructure Detail'!AL10</f>
        <v>28584.872353831419</v>
      </c>
      <c r="AJ43" s="4">
        <f>'Infrastructure Detail'!AM10</f>
        <v>44501.998874274002</v>
      </c>
    </row>
    <row r="44" spans="1:36" hidden="1" outlineLevel="1" collapsed="1" x14ac:dyDescent="0.2">
      <c r="A44" s="42" t="str">
        <f>"  "&amp;'Infrastructure Detail'!A11</f>
        <v xml:space="preserve">  IT &amp; Communications</v>
      </c>
      <c r="B44" s="4">
        <f>'Infrastructure Detail'!E11</f>
        <v>0</v>
      </c>
      <c r="C44" s="4">
        <f>'Infrastructure Detail'!F11</f>
        <v>0</v>
      </c>
      <c r="D44" s="4">
        <f>'Infrastructure Detail'!G11</f>
        <v>0</v>
      </c>
      <c r="E44" s="4">
        <f>'Infrastructure Detail'!H11</f>
        <v>0</v>
      </c>
      <c r="F44" s="4">
        <f>'Infrastructure Detail'!I11</f>
        <v>0</v>
      </c>
      <c r="G44" s="4">
        <f>'Infrastructure Detail'!J11</f>
        <v>0</v>
      </c>
      <c r="H44" s="4">
        <f>'Infrastructure Detail'!K11</f>
        <v>0</v>
      </c>
      <c r="I44" s="4">
        <f>'Infrastructure Detail'!L11</f>
        <v>0</v>
      </c>
      <c r="J44" s="4">
        <f>'Infrastructure Detail'!M11</f>
        <v>0</v>
      </c>
      <c r="K44" s="4">
        <f>'Infrastructure Detail'!N11</f>
        <v>0</v>
      </c>
      <c r="L44" s="4">
        <f>'Infrastructure Detail'!O11</f>
        <v>0</v>
      </c>
      <c r="M44" s="44">
        <f>'Infrastructure Detail'!P11</f>
        <v>0</v>
      </c>
      <c r="N44" s="4">
        <f>'Infrastructure Detail'!Q11</f>
        <v>0</v>
      </c>
      <c r="O44" s="4">
        <f>'Infrastructure Detail'!R11</f>
        <v>0</v>
      </c>
      <c r="P44" s="4">
        <f>'Infrastructure Detail'!S11</f>
        <v>0</v>
      </c>
      <c r="Q44" s="4">
        <f>'Infrastructure Detail'!T11</f>
        <v>0</v>
      </c>
      <c r="R44" s="4">
        <f>'Infrastructure Detail'!U11</f>
        <v>0</v>
      </c>
      <c r="S44" s="4">
        <f>'Infrastructure Detail'!V11</f>
        <v>0</v>
      </c>
      <c r="T44" s="4">
        <f>'Infrastructure Detail'!W11</f>
        <v>0</v>
      </c>
      <c r="U44" s="4">
        <f>'Infrastructure Detail'!X11</f>
        <v>0</v>
      </c>
      <c r="V44" s="4">
        <f>'Infrastructure Detail'!Y11</f>
        <v>0</v>
      </c>
      <c r="W44" s="4">
        <f>'Infrastructure Detail'!Z11</f>
        <v>0</v>
      </c>
      <c r="X44" s="4">
        <f>'Infrastructure Detail'!AA11</f>
        <v>0</v>
      </c>
      <c r="Y44" s="4">
        <f>'Infrastructure Detail'!AB11</f>
        <v>0</v>
      </c>
      <c r="Z44" s="4">
        <f>'Infrastructure Detail'!AC11</f>
        <v>0</v>
      </c>
      <c r="AA44" s="4">
        <f>'Infrastructure Detail'!AD11</f>
        <v>0</v>
      </c>
      <c r="AB44" s="4">
        <f>'Infrastructure Detail'!AE11</f>
        <v>0</v>
      </c>
      <c r="AC44" s="44">
        <f>'Infrastructure Detail'!AF11</f>
        <v>0</v>
      </c>
      <c r="AD44" s="69">
        <f>'Infrastructure Detail'!AG11</f>
        <v>0</v>
      </c>
      <c r="AE44" s="4">
        <f>'Infrastructure Detail'!AH11</f>
        <v>0</v>
      </c>
      <c r="AF44" s="4">
        <f>'Infrastructure Detail'!AI11</f>
        <v>0</v>
      </c>
      <c r="AG44" s="4">
        <f>'Infrastructure Detail'!AJ11</f>
        <v>0</v>
      </c>
      <c r="AH44" s="4">
        <f>'Infrastructure Detail'!AK11</f>
        <v>0</v>
      </c>
      <c r="AI44" s="4">
        <f>'Infrastructure Detail'!AL11</f>
        <v>0</v>
      </c>
      <c r="AJ44" s="4">
        <f>'Infrastructure Detail'!AM11</f>
        <v>0</v>
      </c>
    </row>
    <row r="45" spans="1:36" hidden="1" outlineLevel="1" collapsed="1" x14ac:dyDescent="0.2">
      <c r="A45" s="42" t="str">
        <f>"  "&amp;'Infrastructure Detail'!A12</f>
        <v xml:space="preserve">  Insurance &amp; Legal</v>
      </c>
      <c r="B45" s="4">
        <f>'Infrastructure Detail'!E12</f>
        <v>0</v>
      </c>
      <c r="C45" s="4">
        <f>'Infrastructure Detail'!F12</f>
        <v>0</v>
      </c>
      <c r="D45" s="4">
        <f>'Infrastructure Detail'!G12</f>
        <v>0</v>
      </c>
      <c r="E45" s="4">
        <f>'Infrastructure Detail'!H12</f>
        <v>0</v>
      </c>
      <c r="F45" s="4">
        <f>'Infrastructure Detail'!I12</f>
        <v>0</v>
      </c>
      <c r="G45" s="4">
        <f>'Infrastructure Detail'!J12</f>
        <v>0</v>
      </c>
      <c r="H45" s="4">
        <f>'Infrastructure Detail'!K12</f>
        <v>0</v>
      </c>
      <c r="I45" s="4">
        <f>'Infrastructure Detail'!L12</f>
        <v>0</v>
      </c>
      <c r="J45" s="4">
        <f>'Infrastructure Detail'!M12</f>
        <v>0</v>
      </c>
      <c r="K45" s="4">
        <f>'Infrastructure Detail'!N12</f>
        <v>0</v>
      </c>
      <c r="L45" s="4">
        <f>'Infrastructure Detail'!O12</f>
        <v>0</v>
      </c>
      <c r="M45" s="44">
        <f>'Infrastructure Detail'!P12</f>
        <v>0</v>
      </c>
      <c r="N45" s="4">
        <f>'Infrastructure Detail'!Q12</f>
        <v>0</v>
      </c>
      <c r="O45" s="4">
        <f>'Infrastructure Detail'!R12</f>
        <v>0</v>
      </c>
      <c r="P45" s="4">
        <f>'Infrastructure Detail'!S12</f>
        <v>0</v>
      </c>
      <c r="Q45" s="4">
        <f>'Infrastructure Detail'!T12</f>
        <v>0</v>
      </c>
      <c r="R45" s="4">
        <f>'Infrastructure Detail'!U12</f>
        <v>0</v>
      </c>
      <c r="S45" s="4">
        <f>'Infrastructure Detail'!V12</f>
        <v>0</v>
      </c>
      <c r="T45" s="4">
        <f>'Infrastructure Detail'!W12</f>
        <v>0</v>
      </c>
      <c r="U45" s="4">
        <f>'Infrastructure Detail'!X12</f>
        <v>0</v>
      </c>
      <c r="V45" s="4">
        <f>'Infrastructure Detail'!Y12</f>
        <v>0</v>
      </c>
      <c r="W45" s="4">
        <f>'Infrastructure Detail'!Z12</f>
        <v>0</v>
      </c>
      <c r="X45" s="4">
        <f>'Infrastructure Detail'!AA12</f>
        <v>0</v>
      </c>
      <c r="Y45" s="4">
        <f>'Infrastructure Detail'!AB12</f>
        <v>0</v>
      </c>
      <c r="Z45" s="4">
        <f>'Infrastructure Detail'!AC12</f>
        <v>0</v>
      </c>
      <c r="AA45" s="4">
        <f>'Infrastructure Detail'!AD12</f>
        <v>0</v>
      </c>
      <c r="AB45" s="4">
        <f>'Infrastructure Detail'!AE12</f>
        <v>0</v>
      </c>
      <c r="AC45" s="44">
        <f>'Infrastructure Detail'!AF12</f>
        <v>0</v>
      </c>
      <c r="AD45" s="69">
        <f>'Infrastructure Detail'!AG12</f>
        <v>0</v>
      </c>
      <c r="AE45" s="4">
        <f>'Infrastructure Detail'!AH12</f>
        <v>0</v>
      </c>
      <c r="AF45" s="4">
        <f>'Infrastructure Detail'!AI12</f>
        <v>0</v>
      </c>
      <c r="AG45" s="4">
        <f>'Infrastructure Detail'!AJ12</f>
        <v>0</v>
      </c>
      <c r="AH45" s="4">
        <f>'Infrastructure Detail'!AK12</f>
        <v>0</v>
      </c>
      <c r="AI45" s="4">
        <f>'Infrastructure Detail'!AL12</f>
        <v>0</v>
      </c>
      <c r="AJ45" s="4">
        <f>'Infrastructure Detail'!AM12</f>
        <v>0</v>
      </c>
    </row>
    <row r="46" spans="1:36" hidden="1" outlineLevel="1" collapsed="1" x14ac:dyDescent="0.2">
      <c r="A46" s="42" t="str">
        <f>"  "&amp;'Infrastructure Detail'!A13</f>
        <v xml:space="preserve">  Accounting &amp; Finance</v>
      </c>
      <c r="B46" s="4">
        <f>'Infrastructure Detail'!E13</f>
        <v>0</v>
      </c>
      <c r="C46" s="4">
        <f>'Infrastructure Detail'!F13</f>
        <v>0</v>
      </c>
      <c r="D46" s="4">
        <f>'Infrastructure Detail'!G13</f>
        <v>0</v>
      </c>
      <c r="E46" s="4">
        <f>'Infrastructure Detail'!H13</f>
        <v>0</v>
      </c>
      <c r="F46" s="4">
        <f>'Infrastructure Detail'!I13</f>
        <v>0</v>
      </c>
      <c r="G46" s="4">
        <f>'Infrastructure Detail'!J13</f>
        <v>0</v>
      </c>
      <c r="H46" s="4">
        <f>'Infrastructure Detail'!K13</f>
        <v>0</v>
      </c>
      <c r="I46" s="4">
        <f>'Infrastructure Detail'!L13</f>
        <v>0</v>
      </c>
      <c r="J46" s="4">
        <f>'Infrastructure Detail'!M13</f>
        <v>0</v>
      </c>
      <c r="K46" s="4">
        <f>'Infrastructure Detail'!N13</f>
        <v>0</v>
      </c>
      <c r="L46" s="4">
        <f>'Infrastructure Detail'!O13</f>
        <v>0</v>
      </c>
      <c r="M46" s="44">
        <f>'Infrastructure Detail'!P13</f>
        <v>0</v>
      </c>
      <c r="N46" s="4">
        <f>'Infrastructure Detail'!Q13</f>
        <v>0</v>
      </c>
      <c r="O46" s="4">
        <f>'Infrastructure Detail'!R13</f>
        <v>0</v>
      </c>
      <c r="P46" s="4">
        <f>'Infrastructure Detail'!S13</f>
        <v>0</v>
      </c>
      <c r="Q46" s="4">
        <f>'Infrastructure Detail'!T13</f>
        <v>0</v>
      </c>
      <c r="R46" s="4">
        <f>'Infrastructure Detail'!U13</f>
        <v>0</v>
      </c>
      <c r="S46" s="4">
        <f>'Infrastructure Detail'!V13</f>
        <v>0</v>
      </c>
      <c r="T46" s="4">
        <f>'Infrastructure Detail'!W13</f>
        <v>0</v>
      </c>
      <c r="U46" s="4">
        <f>'Infrastructure Detail'!X13</f>
        <v>0</v>
      </c>
      <c r="V46" s="4">
        <f>'Infrastructure Detail'!Y13</f>
        <v>0</v>
      </c>
      <c r="W46" s="4">
        <f>'Infrastructure Detail'!Z13</f>
        <v>0</v>
      </c>
      <c r="X46" s="4">
        <f>'Infrastructure Detail'!AA13</f>
        <v>0</v>
      </c>
      <c r="Y46" s="4">
        <f>'Infrastructure Detail'!AB13</f>
        <v>0</v>
      </c>
      <c r="Z46" s="4">
        <f>'Infrastructure Detail'!AC13</f>
        <v>0</v>
      </c>
      <c r="AA46" s="4">
        <f>'Infrastructure Detail'!AD13</f>
        <v>0</v>
      </c>
      <c r="AB46" s="4">
        <f>'Infrastructure Detail'!AE13</f>
        <v>0</v>
      </c>
      <c r="AC46" s="44">
        <f>'Infrastructure Detail'!AF13</f>
        <v>0</v>
      </c>
      <c r="AD46" s="69">
        <f>'Infrastructure Detail'!AG13</f>
        <v>0</v>
      </c>
      <c r="AE46" s="4">
        <f>'Infrastructure Detail'!AH13</f>
        <v>0</v>
      </c>
      <c r="AF46" s="4">
        <f>'Infrastructure Detail'!AI13</f>
        <v>0</v>
      </c>
      <c r="AG46" s="4">
        <f>'Infrastructure Detail'!AJ13</f>
        <v>0</v>
      </c>
      <c r="AH46" s="4">
        <f>'Infrastructure Detail'!AK13</f>
        <v>0</v>
      </c>
      <c r="AI46" s="4">
        <f>'Infrastructure Detail'!AL13</f>
        <v>0</v>
      </c>
      <c r="AJ46" s="4">
        <f>'Infrastructure Detail'!AM13</f>
        <v>0</v>
      </c>
    </row>
    <row r="47" spans="1:36" collapsed="1" x14ac:dyDescent="0.2">
      <c r="A47" s="59" t="s">
        <v>51</v>
      </c>
      <c r="B47" s="12">
        <f>'Infrastructure Detail'!E14</f>
        <v>8500</v>
      </c>
      <c r="C47" s="12">
        <f>'Infrastructure Detail'!F14</f>
        <v>9125</v>
      </c>
      <c r="D47" s="12">
        <f>'Infrastructure Detail'!G14</f>
        <v>9804.75</v>
      </c>
      <c r="E47" s="12">
        <f>'Infrastructure Detail'!H14</f>
        <v>10544.442500000001</v>
      </c>
      <c r="F47" s="12">
        <f>'Infrastructure Detail'!I14</f>
        <v>11349.778275000002</v>
      </c>
      <c r="G47" s="12">
        <f>'Infrastructure Detail'!J14</f>
        <v>12227.016748250004</v>
      </c>
      <c r="H47" s="12">
        <f>'Infrastructure Detail'!K14</f>
        <v>13183.031381947505</v>
      </c>
      <c r="I47" s="12">
        <f>'Infrastructure Detail'!L14</f>
        <v>14225.370586218432</v>
      </c>
      <c r="J47" s="12">
        <f>'Infrastructure Detail'!M14</f>
        <v>15362.324697258107</v>
      </c>
      <c r="K47" s="12">
        <f>'Infrastructure Detail'!N14</f>
        <v>16602.999630551632</v>
      </c>
      <c r="L47" s="12">
        <f>'Infrastructure Detail'!O14</f>
        <v>17957.397875637755</v>
      </c>
      <c r="M47" s="48">
        <f>'Infrastructure Detail'!P14</f>
        <v>19436.507565477441</v>
      </c>
      <c r="N47" s="12">
        <f>'Infrastructure Detail'!Q14</f>
        <v>21052.400426742588</v>
      </c>
      <c r="O47" s="12">
        <f>'Infrastructure Detail'!R14</f>
        <v>22818.339497917659</v>
      </c>
      <c r="P47" s="12">
        <f>'Infrastructure Detail'!S14</f>
        <v>24748.897590739245</v>
      </c>
      <c r="Q47" s="12">
        <f>'Infrastructure Detail'!T14</f>
        <v>26860.087567991552</v>
      </c>
      <c r="R47" s="12">
        <f>'Infrastructure Detail'!U14</f>
        <v>29169.505617915009</v>
      </c>
      <c r="S47" s="12">
        <f>'Infrastructure Detail'!V14</f>
        <v>31696.488823445128</v>
      </c>
      <c r="T47" s="12">
        <f>'Infrastructure Detail'!W14</f>
        <v>34462.288454252033</v>
      </c>
      <c r="U47" s="12">
        <f>'Infrastructure Detail'!X14</f>
        <v>37490.260552275708</v>
      </c>
      <c r="V47" s="12">
        <f>'Infrastructure Detail'!Y14</f>
        <v>40806.075538445999</v>
      </c>
      <c r="W47" s="12">
        <f>'Infrastructure Detail'!Z14</f>
        <v>44437.94874096624</v>
      </c>
      <c r="X47" s="12">
        <f>'Infrastructure Detail'!AA14</f>
        <v>48416.893935493623</v>
      </c>
      <c r="Y47" s="12">
        <f>'Infrastructure Detail'!AB14</f>
        <v>52777.002196496265</v>
      </c>
      <c r="Z47" s="12">
        <f>'Infrastructure Detail'!AC14</f>
        <v>27429.75</v>
      </c>
      <c r="AA47" s="12">
        <f>'Infrastructure Detail'!AD14</f>
        <v>34121.237523250005</v>
      </c>
      <c r="AB47" s="12">
        <f>'Infrastructure Detail'!AE14</f>
        <v>42770.726665424037</v>
      </c>
      <c r="AC47" s="48">
        <f>'Infrastructure Detail'!AF14</f>
        <v>53996.905071666828</v>
      </c>
      <c r="AD47" s="73">
        <f>'Infrastructure Detail'!AG14</f>
        <v>158318.61926034087</v>
      </c>
      <c r="AE47" s="12">
        <f>'Infrastructure Detail'!AH14</f>
        <v>68619.637515399503</v>
      </c>
      <c r="AF47" s="12">
        <f>'Infrastructure Detail'!AI14</f>
        <v>87726.082009351681</v>
      </c>
      <c r="AG47" s="12">
        <f>'Infrastructure Detail'!AJ14</f>
        <v>112758.62454497375</v>
      </c>
      <c r="AH47" s="12">
        <f>'Infrastructure Detail'!AK14</f>
        <v>145631.84487295611</v>
      </c>
      <c r="AI47" s="12">
        <f>'Infrastructure Detail'!AL14</f>
        <v>414736.18894268107</v>
      </c>
      <c r="AJ47" s="12">
        <f>'Infrastructure Detail'!AM14</f>
        <v>573054.80820302188</v>
      </c>
    </row>
    <row r="48" spans="1:36" hidden="1" x14ac:dyDescent="0.2">
      <c r="A48" s="57" t="s">
        <v>52</v>
      </c>
      <c r="B48" s="7">
        <f>'Infrastructure Detail'!E15</f>
        <v>8500</v>
      </c>
      <c r="C48" s="7">
        <f>'Infrastructure Detail'!F15</f>
        <v>17625</v>
      </c>
      <c r="D48" s="7">
        <f>'Infrastructure Detail'!G15</f>
        <v>27429.75</v>
      </c>
      <c r="E48" s="7">
        <f>'Infrastructure Detail'!H15</f>
        <v>37974.192500000005</v>
      </c>
      <c r="F48" s="7">
        <f>'Infrastructure Detail'!I15</f>
        <v>49323.970775000009</v>
      </c>
      <c r="G48" s="7">
        <f>'Infrastructure Detail'!J15</f>
        <v>61550.987523250013</v>
      </c>
      <c r="H48" s="7">
        <f>'Infrastructure Detail'!K15</f>
        <v>74734.018905197518</v>
      </c>
      <c r="I48" s="7">
        <f>'Infrastructure Detail'!L15</f>
        <v>88959.389491415946</v>
      </c>
      <c r="J48" s="7">
        <f>'Infrastructure Detail'!M15</f>
        <v>104321.71418867406</v>
      </c>
      <c r="K48" s="7">
        <f>'Infrastructure Detail'!N15</f>
        <v>120924.7138192257</v>
      </c>
      <c r="L48" s="7">
        <f>'Infrastructure Detail'!O15</f>
        <v>138882.11169486344</v>
      </c>
      <c r="M48" s="47">
        <f>'Infrastructure Detail'!P15</f>
        <v>158318.61926034087</v>
      </c>
      <c r="N48" s="7">
        <f>'Infrastructure Detail'!Q15</f>
        <v>179371.01968708346</v>
      </c>
      <c r="O48" s="7">
        <f>'Infrastructure Detail'!R15</f>
        <v>202189.35918500111</v>
      </c>
      <c r="P48" s="7">
        <f>'Infrastructure Detail'!S15</f>
        <v>226938.25677574036</v>
      </c>
      <c r="Q48" s="7">
        <f>'Infrastructure Detail'!T15</f>
        <v>253798.34434373191</v>
      </c>
      <c r="R48" s="7">
        <f>'Infrastructure Detail'!U15</f>
        <v>282967.84996164689</v>
      </c>
      <c r="S48" s="7">
        <f>'Infrastructure Detail'!V15</f>
        <v>314664.338785092</v>
      </c>
      <c r="T48" s="7">
        <f>'Infrastructure Detail'!W15</f>
        <v>349126.62723934406</v>
      </c>
      <c r="U48" s="7">
        <f>'Infrastructure Detail'!X15</f>
        <v>386616.88779161975</v>
      </c>
      <c r="V48" s="7">
        <f>'Infrastructure Detail'!Y15</f>
        <v>427422.96333006577</v>
      </c>
      <c r="W48" s="7">
        <f>'Infrastructure Detail'!Z15</f>
        <v>471860.91207103198</v>
      </c>
      <c r="X48" s="7">
        <f>'Infrastructure Detail'!AA15</f>
        <v>520277.80600652558</v>
      </c>
      <c r="Y48" s="7">
        <f>'Infrastructure Detail'!AB15</f>
        <v>573054.80820302188</v>
      </c>
      <c r="Z48" s="7">
        <f>'Infrastructure Detail'!AC15</f>
        <v>27429.75</v>
      </c>
      <c r="AA48" s="7">
        <f>'Infrastructure Detail'!AD15</f>
        <v>61550.987523250013</v>
      </c>
      <c r="AB48" s="7">
        <f>'Infrastructure Detail'!AE15</f>
        <v>104321.71418867406</v>
      </c>
      <c r="AC48" s="47">
        <f>'Infrastructure Detail'!AF15</f>
        <v>158318.61926034087</v>
      </c>
      <c r="AD48" s="72">
        <f>'Infrastructure Detail'!AG15</f>
        <v>158318.61926034087</v>
      </c>
      <c r="AE48" s="7">
        <f>'Infrastructure Detail'!AH15</f>
        <v>226938.25677574036</v>
      </c>
      <c r="AF48" s="7">
        <f>'Infrastructure Detail'!AI15</f>
        <v>314664.338785092</v>
      </c>
      <c r="AG48" s="7">
        <f>'Infrastructure Detail'!AJ15</f>
        <v>427422.96333006577</v>
      </c>
      <c r="AH48" s="7">
        <f>'Infrastructure Detail'!AK15</f>
        <v>573054.80820302188</v>
      </c>
      <c r="AI48" s="7">
        <f>'Infrastructure Detail'!AL15</f>
        <v>573054.80820302188</v>
      </c>
      <c r="AJ48" s="7">
        <f>'Infrastructure Detail'!AM15</f>
        <v>573054.80820302188</v>
      </c>
    </row>
    <row r="50" spans="1:36" ht="16" x14ac:dyDescent="0.2">
      <c r="A50" s="60" t="s">
        <v>53</v>
      </c>
    </row>
    <row r="51" spans="1:36" outlineLevel="1" collapsed="1" x14ac:dyDescent="0.2">
      <c r="A51" s="42" t="str">
        <f>"  "&amp;'Go-to-Market Detail'!A4</f>
        <v xml:space="preserve">  Content Marketing &amp; SEO</v>
      </c>
      <c r="B51" s="4">
        <f>'Go-to-Market Detail'!E4</f>
        <v>5000</v>
      </c>
      <c r="C51" s="4">
        <f>'Go-to-Market Detail'!F4</f>
        <v>5150</v>
      </c>
      <c r="D51" s="4">
        <f>'Go-to-Market Detail'!G4</f>
        <v>5304.5</v>
      </c>
      <c r="E51" s="4">
        <f>'Go-to-Market Detail'!H4</f>
        <v>5463.6350000000002</v>
      </c>
      <c r="F51" s="4">
        <f>'Go-to-Market Detail'!I4</f>
        <v>5627.5440499999995</v>
      </c>
      <c r="G51" s="4">
        <f>'Go-to-Market Detail'!J4</f>
        <v>5796.3703714999992</v>
      </c>
      <c r="H51" s="4">
        <f>'Go-to-Market Detail'!K4</f>
        <v>5970.2614826449999</v>
      </c>
      <c r="I51" s="4">
        <f>'Go-to-Market Detail'!L4</f>
        <v>6149.3693271243501</v>
      </c>
      <c r="J51" s="4">
        <f>'Go-to-Market Detail'!M4</f>
        <v>6333.8504069380797</v>
      </c>
      <c r="K51" s="4">
        <f>'Go-to-Market Detail'!N4</f>
        <v>6523.865919146222</v>
      </c>
      <c r="L51" s="4">
        <f>'Go-to-Market Detail'!O4</f>
        <v>6719.5818967206087</v>
      </c>
      <c r="M51" s="44">
        <f>'Go-to-Market Detail'!P4</f>
        <v>6921.1693536222274</v>
      </c>
      <c r="N51" s="4">
        <f>'Go-to-Market Detail'!Q4</f>
        <v>7128.8044342308931</v>
      </c>
      <c r="O51" s="4">
        <f>'Go-to-Market Detail'!R4</f>
        <v>7342.6685672578196</v>
      </c>
      <c r="P51" s="4">
        <f>'Go-to-Market Detail'!S4</f>
        <v>7562.9486242755547</v>
      </c>
      <c r="Q51" s="4">
        <f>'Go-to-Market Detail'!T4</f>
        <v>7789.837083003822</v>
      </c>
      <c r="R51" s="4">
        <f>'Go-to-Market Detail'!U4</f>
        <v>8023.5321954939354</v>
      </c>
      <c r="S51" s="4">
        <f>'Go-to-Market Detail'!V4</f>
        <v>8264.2381613587531</v>
      </c>
      <c r="T51" s="4">
        <f>'Go-to-Market Detail'!W4</f>
        <v>8512.1653061995166</v>
      </c>
      <c r="U51" s="4">
        <f>'Go-to-Market Detail'!X4</f>
        <v>8767.5302653855015</v>
      </c>
      <c r="V51" s="4">
        <f>'Go-to-Market Detail'!Y4</f>
        <v>9030.5561733470659</v>
      </c>
      <c r="W51" s="4">
        <f>'Go-to-Market Detail'!Z4</f>
        <v>9301.4728585474768</v>
      </c>
      <c r="X51" s="4">
        <f>'Go-to-Market Detail'!AA4</f>
        <v>9580.5170443039024</v>
      </c>
      <c r="Y51" s="4">
        <f>'Go-to-Market Detail'!AB4</f>
        <v>9867.9325556330205</v>
      </c>
      <c r="Z51" s="4">
        <f>'Go-to-Market Detail'!AC4</f>
        <v>15454.5</v>
      </c>
      <c r="AA51" s="4">
        <f>'Go-to-Market Detail'!AD4</f>
        <v>16887.5494215</v>
      </c>
      <c r="AB51" s="4">
        <f>'Go-to-Market Detail'!AE4</f>
        <v>18453.481216707431</v>
      </c>
      <c r="AC51" s="44">
        <f>'Go-to-Market Detail'!AF4</f>
        <v>20164.617169489058</v>
      </c>
      <c r="AD51" s="69">
        <f>'Go-to-Market Detail'!AG4</f>
        <v>70960.147807696485</v>
      </c>
      <c r="AE51" s="4">
        <f>'Go-to-Market Detail'!AH4</f>
        <v>22034.421625764269</v>
      </c>
      <c r="AF51" s="4">
        <f>'Go-to-Market Detail'!AI4</f>
        <v>24077.607439856511</v>
      </c>
      <c r="AG51" s="4">
        <f>'Go-to-Market Detail'!AJ4</f>
        <v>26310.251744932088</v>
      </c>
      <c r="AH51" s="4">
        <f>'Go-to-Market Detail'!AK4</f>
        <v>28749.922458484398</v>
      </c>
      <c r="AI51" s="4">
        <f>'Go-to-Market Detail'!AL4</f>
        <v>101172.20326903727</v>
      </c>
      <c r="AJ51" s="4">
        <f>'Go-to-Market Detail'!AM4</f>
        <v>172132.35107673376</v>
      </c>
    </row>
    <row r="52" spans="1:36" outlineLevel="1" collapsed="1" x14ac:dyDescent="0.2">
      <c r="A52" s="42" t="str">
        <f>"  "&amp;'Go-to-Market Detail'!A5</f>
        <v xml:space="preserve">  Paid Advertising (Google, LinkedIn)</v>
      </c>
      <c r="B52" s="4">
        <f>'Go-to-Market Detail'!E5</f>
        <v>3000</v>
      </c>
      <c r="C52" s="4">
        <f>'Go-to-Market Detail'!F5</f>
        <v>3449.9999999999995</v>
      </c>
      <c r="D52" s="4">
        <f>'Go-to-Market Detail'!G5</f>
        <v>3967.4999999999995</v>
      </c>
      <c r="E52" s="4">
        <f>'Go-to-Market Detail'!H5</f>
        <v>4562.6249999999982</v>
      </c>
      <c r="F52" s="4">
        <f>'Go-to-Market Detail'!I5</f>
        <v>5247.0187499999984</v>
      </c>
      <c r="G52" s="4">
        <f>'Go-to-Market Detail'!J5</f>
        <v>6034.0715624999984</v>
      </c>
      <c r="H52" s="4">
        <f>'Go-to-Market Detail'!K5</f>
        <v>6939.1822968749975</v>
      </c>
      <c r="I52" s="4">
        <f>'Go-to-Market Detail'!L5</f>
        <v>7980.0596414062447</v>
      </c>
      <c r="J52" s="4">
        <f>'Go-to-Market Detail'!M5</f>
        <v>9177.068587617181</v>
      </c>
      <c r="K52" s="4">
        <f>'Go-to-Market Detail'!N5</f>
        <v>10553.628875759758</v>
      </c>
      <c r="L52" s="4">
        <f>'Go-to-Market Detail'!O5</f>
        <v>12136.67320712372</v>
      </c>
      <c r="M52" s="44">
        <f>'Go-to-Market Detail'!P5</f>
        <v>13957.174188192277</v>
      </c>
      <c r="N52" s="4">
        <f>'Go-to-Market Detail'!Q5</f>
        <v>16050.750316421116</v>
      </c>
      <c r="O52" s="4">
        <f>'Go-to-Market Detail'!R5</f>
        <v>18458.362863884286</v>
      </c>
      <c r="P52" s="4">
        <f>'Go-to-Market Detail'!S5</f>
        <v>21227.117293466927</v>
      </c>
      <c r="Q52" s="4">
        <f>'Go-to-Market Detail'!T5</f>
        <v>24411.184887486957</v>
      </c>
      <c r="R52" s="4">
        <f>'Go-to-Market Detail'!U5</f>
        <v>28072.862620609998</v>
      </c>
      <c r="S52" s="4">
        <f>'Go-to-Market Detail'!V5</f>
        <v>32283.792013701495</v>
      </c>
      <c r="T52" s="4">
        <f>'Go-to-Market Detail'!W5</f>
        <v>37126.360815756714</v>
      </c>
      <c r="U52" s="4">
        <f>'Go-to-Market Detail'!X5</f>
        <v>42695.314938120217</v>
      </c>
      <c r="V52" s="4">
        <f>'Go-to-Market Detail'!Y5</f>
        <v>49099.612178838244</v>
      </c>
      <c r="W52" s="4">
        <f>'Go-to-Market Detail'!Z5</f>
        <v>56464.554005663987</v>
      </c>
      <c r="X52" s="4">
        <f>'Go-to-Market Detail'!AA5</f>
        <v>64934.237106513581</v>
      </c>
      <c r="Y52" s="4">
        <f>'Go-to-Market Detail'!AB5</f>
        <v>74674.372672490601</v>
      </c>
      <c r="Z52" s="4">
        <f>'Go-to-Market Detail'!AC5</f>
        <v>10417.5</v>
      </c>
      <c r="AA52" s="4">
        <f>'Go-to-Market Detail'!AD5</f>
        <v>15843.715312499993</v>
      </c>
      <c r="AB52" s="4">
        <f>'Go-to-Market Detail'!AE5</f>
        <v>24096.310525898421</v>
      </c>
      <c r="AC52" s="44">
        <f>'Go-to-Market Detail'!AF5</f>
        <v>36647.476271075757</v>
      </c>
      <c r="AD52" s="69">
        <f>'Go-to-Market Detail'!AG5</f>
        <v>87005.002109474182</v>
      </c>
      <c r="AE52" s="4">
        <f>'Go-to-Market Detail'!AH5</f>
        <v>55736.230473772332</v>
      </c>
      <c r="AF52" s="4">
        <f>'Go-to-Market Detail'!AI5</f>
        <v>84767.839521798451</v>
      </c>
      <c r="AG52" s="4">
        <f>'Go-to-Market Detail'!AJ5</f>
        <v>128921.28793271517</v>
      </c>
      <c r="AH52" s="4">
        <f>'Go-to-Market Detail'!AK5</f>
        <v>196073.16378466817</v>
      </c>
      <c r="AI52" s="4">
        <f>'Go-to-Market Detail'!AL5</f>
        <v>465498.52171295416</v>
      </c>
      <c r="AJ52" s="4">
        <f>'Go-to-Market Detail'!AM5</f>
        <v>552503.52382242831</v>
      </c>
    </row>
    <row r="53" spans="1:36" outlineLevel="1" collapsed="1" x14ac:dyDescent="0.2">
      <c r="A53" s="42" t="str">
        <f>"  "&amp;'Go-to-Market Detail'!A6</f>
        <v xml:space="preserve">  Marketing Automation Tools</v>
      </c>
      <c r="B53" s="4">
        <f>'Go-to-Market Detail'!E6</f>
        <v>1500</v>
      </c>
      <c r="C53" s="4">
        <f>'Go-to-Market Detail'!F6</f>
        <v>1575</v>
      </c>
      <c r="D53" s="4">
        <f>'Go-to-Market Detail'!G6</f>
        <v>1653.75</v>
      </c>
      <c r="E53" s="4">
        <f>'Go-to-Market Detail'!H6</f>
        <v>1736.4375000000002</v>
      </c>
      <c r="F53" s="4">
        <f>'Go-to-Market Detail'!I6</f>
        <v>1823.2593750000001</v>
      </c>
      <c r="G53" s="4">
        <f>'Go-to-Market Detail'!J6</f>
        <v>1914.4223437500002</v>
      </c>
      <c r="H53" s="4">
        <f>'Go-to-Market Detail'!K6</f>
        <v>2010.1434609374999</v>
      </c>
      <c r="I53" s="4">
        <f>'Go-to-Market Detail'!L6</f>
        <v>2110.6506339843754</v>
      </c>
      <c r="J53" s="4">
        <f>'Go-to-Market Detail'!M6</f>
        <v>2216.1831656835939</v>
      </c>
      <c r="K53" s="4">
        <f>'Go-to-Market Detail'!N6</f>
        <v>2326.9923239677737</v>
      </c>
      <c r="L53" s="4">
        <f>'Go-to-Market Detail'!O6</f>
        <v>2443.3419401661622</v>
      </c>
      <c r="M53" s="44">
        <f>'Go-to-Market Detail'!P6</f>
        <v>2565.5090371744704</v>
      </c>
      <c r="N53" s="4">
        <f>'Go-to-Market Detail'!Q6</f>
        <v>2693.7844890331939</v>
      </c>
      <c r="O53" s="4">
        <f>'Go-to-Market Detail'!R6</f>
        <v>2828.4737134848542</v>
      </c>
      <c r="P53" s="4">
        <f>'Go-to-Market Detail'!S6</f>
        <v>2969.897399159096</v>
      </c>
      <c r="Q53" s="4">
        <f>'Go-to-Market Detail'!T6</f>
        <v>3118.3922691170519</v>
      </c>
      <c r="R53" s="4">
        <f>'Go-to-Market Detail'!U6</f>
        <v>3274.3118825729039</v>
      </c>
      <c r="S53" s="4">
        <f>'Go-to-Market Detail'!V6</f>
        <v>3438.0274767015499</v>
      </c>
      <c r="T53" s="4">
        <f>'Go-to-Market Detail'!W6</f>
        <v>3609.9288505366271</v>
      </c>
      <c r="U53" s="4">
        <f>'Go-to-Market Detail'!X6</f>
        <v>3790.4252930634584</v>
      </c>
      <c r="V53" s="4">
        <f>'Go-to-Market Detail'!Y6</f>
        <v>3979.9465577166311</v>
      </c>
      <c r="W53" s="4">
        <f>'Go-to-Market Detail'!Z6</f>
        <v>4178.9438856024626</v>
      </c>
      <c r="X53" s="4">
        <f>'Go-to-Market Detail'!AA6</f>
        <v>4387.8910798825855</v>
      </c>
      <c r="Y53" s="4">
        <f>'Go-to-Market Detail'!AB6</f>
        <v>4607.285633876716</v>
      </c>
      <c r="Z53" s="4">
        <f>'Go-to-Market Detail'!AC6</f>
        <v>4728.75</v>
      </c>
      <c r="AA53" s="4">
        <f>'Go-to-Market Detail'!AD6</f>
        <v>5474.119218750001</v>
      </c>
      <c r="AB53" s="4">
        <f>'Go-to-Market Detail'!AE6</f>
        <v>6336.9772606054694</v>
      </c>
      <c r="AC53" s="44">
        <f>'Go-to-Market Detail'!AF6</f>
        <v>7335.8433013084068</v>
      </c>
      <c r="AD53" s="69">
        <f>'Go-to-Market Detail'!AG6</f>
        <v>23875.689780663877</v>
      </c>
      <c r="AE53" s="4">
        <f>'Go-to-Market Detail'!AH6</f>
        <v>8492.1556016771447</v>
      </c>
      <c r="AF53" s="4">
        <f>'Go-to-Market Detail'!AI6</f>
        <v>9830.7316283915061</v>
      </c>
      <c r="AG53" s="4">
        <f>'Go-to-Market Detail'!AJ6</f>
        <v>11380.300701316715</v>
      </c>
      <c r="AH53" s="4">
        <f>'Go-to-Market Detail'!AK6</f>
        <v>13174.120599361764</v>
      </c>
      <c r="AI53" s="4">
        <f>'Go-to-Market Detail'!AL6</f>
        <v>42877.308530747126</v>
      </c>
      <c r="AJ53" s="4">
        <f>'Go-to-Market Detail'!AM6</f>
        <v>66752.998311411007</v>
      </c>
    </row>
    <row r="54" spans="1:36" outlineLevel="1" collapsed="1" x14ac:dyDescent="0.2">
      <c r="A54" s="42" t="str">
        <f>"  "&amp;'Go-to-Market Detail'!A7</f>
        <v xml:space="preserve">  Design Partner Program</v>
      </c>
      <c r="B54" s="4">
        <f>'Go-to-Market Detail'!E7</f>
        <v>0</v>
      </c>
      <c r="C54" s="4">
        <f>'Go-to-Market Detail'!F7</f>
        <v>0</v>
      </c>
      <c r="D54" s="4">
        <f>'Go-to-Market Detail'!G7</f>
        <v>0</v>
      </c>
      <c r="E54" s="4">
        <f>'Go-to-Market Detail'!H7</f>
        <v>0</v>
      </c>
      <c r="F54" s="4">
        <f>'Go-to-Market Detail'!I7</f>
        <v>0</v>
      </c>
      <c r="G54" s="4">
        <f>'Go-to-Market Detail'!J7</f>
        <v>0</v>
      </c>
      <c r="H54" s="4">
        <f>'Go-to-Market Detail'!K7</f>
        <v>0</v>
      </c>
      <c r="I54" s="4">
        <f>'Go-to-Market Detail'!L7</f>
        <v>0</v>
      </c>
      <c r="J54" s="4">
        <f>'Go-to-Market Detail'!M7</f>
        <v>0</v>
      </c>
      <c r="K54" s="4">
        <f>'Go-to-Market Detail'!N7</f>
        <v>0</v>
      </c>
      <c r="L54" s="4">
        <f>'Go-to-Market Detail'!O7</f>
        <v>0</v>
      </c>
      <c r="M54" s="44">
        <f>'Go-to-Market Detail'!P7</f>
        <v>0</v>
      </c>
      <c r="N54" s="4">
        <f>'Go-to-Market Detail'!Q7</f>
        <v>0</v>
      </c>
      <c r="O54" s="4">
        <f>'Go-to-Market Detail'!R7</f>
        <v>0</v>
      </c>
      <c r="P54" s="4">
        <f>'Go-to-Market Detail'!S7</f>
        <v>0</v>
      </c>
      <c r="Q54" s="4">
        <f>'Go-to-Market Detail'!T7</f>
        <v>0</v>
      </c>
      <c r="R54" s="4">
        <f>'Go-to-Market Detail'!U7</f>
        <v>0</v>
      </c>
      <c r="S54" s="4">
        <f>'Go-to-Market Detail'!V7</f>
        <v>0</v>
      </c>
      <c r="T54" s="4">
        <f>'Go-to-Market Detail'!W7</f>
        <v>0</v>
      </c>
      <c r="U54" s="4">
        <f>'Go-to-Market Detail'!X7</f>
        <v>0</v>
      </c>
      <c r="V54" s="4">
        <f>'Go-to-Market Detail'!Y7</f>
        <v>0</v>
      </c>
      <c r="W54" s="4">
        <f>'Go-to-Market Detail'!Z7</f>
        <v>0</v>
      </c>
      <c r="X54" s="4">
        <f>'Go-to-Market Detail'!AA7</f>
        <v>0</v>
      </c>
      <c r="Y54" s="4">
        <f>'Go-to-Market Detail'!AB7</f>
        <v>0</v>
      </c>
      <c r="Z54" s="4">
        <f>'Go-to-Market Detail'!AC7</f>
        <v>0</v>
      </c>
      <c r="AA54" s="4">
        <f>'Go-to-Market Detail'!AD7</f>
        <v>0</v>
      </c>
      <c r="AB54" s="4">
        <f>'Go-to-Market Detail'!AE7</f>
        <v>0</v>
      </c>
      <c r="AC54" s="44">
        <f>'Go-to-Market Detail'!AF7</f>
        <v>0</v>
      </c>
      <c r="AD54" s="69">
        <f>'Go-to-Market Detail'!AG7</f>
        <v>0</v>
      </c>
      <c r="AE54" s="4">
        <f>'Go-to-Market Detail'!AH7</f>
        <v>0</v>
      </c>
      <c r="AF54" s="4">
        <f>'Go-to-Market Detail'!AI7</f>
        <v>0</v>
      </c>
      <c r="AG54" s="4">
        <f>'Go-to-Market Detail'!AJ7</f>
        <v>0</v>
      </c>
      <c r="AH54" s="4">
        <f>'Go-to-Market Detail'!AK7</f>
        <v>0</v>
      </c>
      <c r="AI54" s="4">
        <f>'Go-to-Market Detail'!AL7</f>
        <v>0</v>
      </c>
      <c r="AJ54" s="4">
        <f>'Go-to-Market Detail'!AM7</f>
        <v>0</v>
      </c>
    </row>
    <row r="55" spans="1:36" outlineLevel="1" collapsed="1" x14ac:dyDescent="0.2">
      <c r="A55" s="42" t="str">
        <f>"  "&amp;'Go-to-Market Detail'!A8</f>
        <v xml:space="preserve">  Community Building &amp; Events</v>
      </c>
      <c r="B55" s="4">
        <f>'Go-to-Market Detail'!E8</f>
        <v>4000</v>
      </c>
      <c r="C55" s="4">
        <f>'Go-to-Market Detail'!F8</f>
        <v>4480</v>
      </c>
      <c r="D55" s="4">
        <f>'Go-to-Market Detail'!G8</f>
        <v>5017.6000000000004</v>
      </c>
      <c r="E55" s="4">
        <f>'Go-to-Market Detail'!H8</f>
        <v>5619.7120000000014</v>
      </c>
      <c r="F55" s="4">
        <f>'Go-to-Market Detail'!I8</f>
        <v>6294.0774400000018</v>
      </c>
      <c r="G55" s="4">
        <f>'Go-to-Market Detail'!J8</f>
        <v>7049.366732800002</v>
      </c>
      <c r="H55" s="4">
        <f>'Go-to-Market Detail'!K8</f>
        <v>7895.2907407360035</v>
      </c>
      <c r="I55" s="4">
        <f>'Go-to-Market Detail'!L8</f>
        <v>8842.7256296243231</v>
      </c>
      <c r="J55" s="4">
        <f>'Go-to-Market Detail'!M8</f>
        <v>9903.8527051792444</v>
      </c>
      <c r="K55" s="4">
        <f>'Go-to-Market Detail'!N8</f>
        <v>11092.315029800753</v>
      </c>
      <c r="L55" s="4">
        <f>'Go-to-Market Detail'!O8</f>
        <v>12423.392833376845</v>
      </c>
      <c r="M55" s="44">
        <f>'Go-to-Market Detail'!P8</f>
        <v>13914.199973382068</v>
      </c>
      <c r="N55" s="4">
        <f>'Go-to-Market Detail'!Q8</f>
        <v>15583.903970187916</v>
      </c>
      <c r="O55" s="4">
        <f>'Go-to-Market Detail'!R8</f>
        <v>17453.972446610467</v>
      </c>
      <c r="P55" s="4">
        <f>'Go-to-Market Detail'!S8</f>
        <v>19548.449140203727</v>
      </c>
      <c r="Q55" s="4">
        <f>'Go-to-Market Detail'!T8</f>
        <v>21894.263037028169</v>
      </c>
      <c r="R55" s="4">
        <f>'Go-to-Market Detail'!U8</f>
        <v>24521.574601471555</v>
      </c>
      <c r="S55" s="4">
        <f>'Go-to-Market Detail'!V8</f>
        <v>27464.163553648144</v>
      </c>
      <c r="T55" s="4">
        <f>'Go-to-Market Detail'!W8</f>
        <v>30759.863180085926</v>
      </c>
      <c r="U55" s="4">
        <f>'Go-to-Market Detail'!X8</f>
        <v>34451.046761696241</v>
      </c>
      <c r="V55" s="4">
        <f>'Go-to-Market Detail'!Y8</f>
        <v>38585.172373099791</v>
      </c>
      <c r="W55" s="4">
        <f>'Go-to-Market Detail'!Z8</f>
        <v>43215.393057871763</v>
      </c>
      <c r="X55" s="4">
        <f>'Go-to-Market Detail'!AA8</f>
        <v>48401.240224816385</v>
      </c>
      <c r="Y55" s="4">
        <f>'Go-to-Market Detail'!AB8</f>
        <v>54209.389051794344</v>
      </c>
      <c r="Z55" s="4">
        <f>'Go-to-Market Detail'!AC8</f>
        <v>13497.6</v>
      </c>
      <c r="AA55" s="4">
        <f>'Go-to-Market Detail'!AD8</f>
        <v>18963.156172800005</v>
      </c>
      <c r="AB55" s="4">
        <f>'Go-to-Market Detail'!AE8</f>
        <v>26641.869075539569</v>
      </c>
      <c r="AC55" s="44">
        <f>'Go-to-Market Detail'!AF8</f>
        <v>37429.907836559665</v>
      </c>
      <c r="AD55" s="69">
        <f>'Go-to-Market Detail'!AG8</f>
        <v>96532.533084899245</v>
      </c>
      <c r="AE55" s="4">
        <f>'Go-to-Market Detail'!AH8</f>
        <v>52586.325557002114</v>
      </c>
      <c r="AF55" s="4">
        <f>'Go-to-Market Detail'!AI8</f>
        <v>73880.001192147873</v>
      </c>
      <c r="AG55" s="4">
        <f>'Go-to-Market Detail'!AJ8</f>
        <v>103796.08231488196</v>
      </c>
      <c r="AH55" s="4">
        <f>'Go-to-Market Detail'!AK8</f>
        <v>145826.02233448249</v>
      </c>
      <c r="AI55" s="4">
        <f>'Go-to-Market Detail'!AL8</f>
        <v>376088.43139851443</v>
      </c>
      <c r="AJ55" s="4">
        <f>'Go-to-Market Detail'!AM8</f>
        <v>472620.96448341367</v>
      </c>
    </row>
    <row r="56" spans="1:36" outlineLevel="1" collapsed="1" x14ac:dyDescent="0.2">
      <c r="A56" s="42" t="str">
        <f>"  "&amp;'Go-to-Market Detail'!A9</f>
        <v xml:space="preserve">  Website &amp; Landing Pages</v>
      </c>
      <c r="B56" s="4">
        <f>'Go-to-Market Detail'!E9</f>
        <v>1000</v>
      </c>
      <c r="C56" s="4">
        <f>'Go-to-Market Detail'!F9</f>
        <v>1030</v>
      </c>
      <c r="D56" s="4">
        <f>'Go-to-Market Detail'!G9</f>
        <v>1060.8999999999999</v>
      </c>
      <c r="E56" s="4">
        <f>'Go-to-Market Detail'!H9</f>
        <v>1092.7270000000001</v>
      </c>
      <c r="F56" s="4">
        <f>'Go-to-Market Detail'!I9</f>
        <v>1125.5088099999998</v>
      </c>
      <c r="G56" s="4">
        <f>'Go-to-Market Detail'!J9</f>
        <v>1159.2740742999999</v>
      </c>
      <c r="H56" s="4">
        <f>'Go-to-Market Detail'!K9</f>
        <v>1194.0522965289999</v>
      </c>
      <c r="I56" s="4">
        <f>'Go-to-Market Detail'!L9</f>
        <v>1229.87386542487</v>
      </c>
      <c r="J56" s="4">
        <f>'Go-to-Market Detail'!M9</f>
        <v>1266.7700813876158</v>
      </c>
      <c r="K56" s="4">
        <f>'Go-to-Market Detail'!N9</f>
        <v>1304.7731838292445</v>
      </c>
      <c r="L56" s="4">
        <f>'Go-to-Market Detail'!O9</f>
        <v>1343.9163793441219</v>
      </c>
      <c r="M56" s="44">
        <f>'Go-to-Market Detail'!P9</f>
        <v>1384.2338707244455</v>
      </c>
      <c r="N56" s="4">
        <f>'Go-to-Market Detail'!Q9</f>
        <v>1425.7608868461787</v>
      </c>
      <c r="O56" s="4">
        <f>'Go-to-Market Detail'!R9</f>
        <v>1468.5337134515639</v>
      </c>
      <c r="P56" s="4">
        <f>'Go-to-Market Detail'!S9</f>
        <v>1512.5897248551109</v>
      </c>
      <c r="Q56" s="4">
        <f>'Go-to-Market Detail'!T9</f>
        <v>1557.9674166007644</v>
      </c>
      <c r="R56" s="4">
        <f>'Go-to-Market Detail'!U9</f>
        <v>1604.7064390987871</v>
      </c>
      <c r="S56" s="4">
        <f>'Go-to-Market Detail'!V9</f>
        <v>1652.8476322717506</v>
      </c>
      <c r="T56" s="4">
        <f>'Go-to-Market Detail'!W9</f>
        <v>1702.4330612399033</v>
      </c>
      <c r="U56" s="4">
        <f>'Go-to-Market Detail'!X9</f>
        <v>1753.5060530771002</v>
      </c>
      <c r="V56" s="4">
        <f>'Go-to-Market Detail'!Y9</f>
        <v>1806.1112346694133</v>
      </c>
      <c r="W56" s="4">
        <f>'Go-to-Market Detail'!Z9</f>
        <v>1860.2945717094954</v>
      </c>
      <c r="X56" s="4">
        <f>'Go-to-Market Detail'!AA9</f>
        <v>1916.1034088607805</v>
      </c>
      <c r="Y56" s="4">
        <f>'Go-to-Market Detail'!AB9</f>
        <v>1973.5865111266039</v>
      </c>
      <c r="Z56" s="4">
        <f>'Go-to-Market Detail'!AC9</f>
        <v>3090.8999999999996</v>
      </c>
      <c r="AA56" s="4">
        <f>'Go-to-Market Detail'!AD9</f>
        <v>3377.5098843000001</v>
      </c>
      <c r="AB56" s="4">
        <f>'Go-to-Market Detail'!AE9</f>
        <v>3690.696243341486</v>
      </c>
      <c r="AC56" s="44">
        <f>'Go-to-Market Detail'!AF9</f>
        <v>4032.9234338978122</v>
      </c>
      <c r="AD56" s="69">
        <f>'Go-to-Market Detail'!AG9</f>
        <v>14192.029561539297</v>
      </c>
      <c r="AE56" s="4">
        <f>'Go-to-Market Detail'!AH9</f>
        <v>4406.8843251528533</v>
      </c>
      <c r="AF56" s="4">
        <f>'Go-to-Market Detail'!AI9</f>
        <v>4815.5214879713021</v>
      </c>
      <c r="AG56" s="4">
        <f>'Go-to-Market Detail'!AJ9</f>
        <v>5262.0503489864168</v>
      </c>
      <c r="AH56" s="4">
        <f>'Go-to-Market Detail'!AK9</f>
        <v>5749.9844916968796</v>
      </c>
      <c r="AI56" s="4">
        <f>'Go-to-Market Detail'!AL9</f>
        <v>20234.440653807451</v>
      </c>
      <c r="AJ56" s="4">
        <f>'Go-to-Market Detail'!AM9</f>
        <v>34426.470215346752</v>
      </c>
    </row>
    <row r="57" spans="1:36" outlineLevel="1" collapsed="1" x14ac:dyDescent="0.2">
      <c r="A57" s="42" t="str">
        <f>"  "&amp;'Go-to-Market Detail'!A10</f>
        <v xml:space="preserve">  Sales Tools (CRM, etc)</v>
      </c>
      <c r="B57" s="4">
        <f>'Go-to-Market Detail'!E10</f>
        <v>0</v>
      </c>
      <c r="C57" s="4">
        <f>'Go-to-Market Detail'!F10</f>
        <v>0</v>
      </c>
      <c r="D57" s="4">
        <f>'Go-to-Market Detail'!G10</f>
        <v>0</v>
      </c>
      <c r="E57" s="4">
        <f>'Go-to-Market Detail'!H10</f>
        <v>0</v>
      </c>
      <c r="F57" s="4">
        <f>'Go-to-Market Detail'!I10</f>
        <v>0</v>
      </c>
      <c r="G57" s="4">
        <f>'Go-to-Market Detail'!J10</f>
        <v>0</v>
      </c>
      <c r="H57" s="4">
        <f>'Go-to-Market Detail'!K10</f>
        <v>0</v>
      </c>
      <c r="I57" s="4">
        <f>'Go-to-Market Detail'!L10</f>
        <v>0</v>
      </c>
      <c r="J57" s="4">
        <f>'Go-to-Market Detail'!M10</f>
        <v>0</v>
      </c>
      <c r="K57" s="4">
        <f>'Go-to-Market Detail'!N10</f>
        <v>0</v>
      </c>
      <c r="L57" s="4">
        <f>'Go-to-Market Detail'!O10</f>
        <v>0</v>
      </c>
      <c r="M57" s="44">
        <f>'Go-to-Market Detail'!P10</f>
        <v>0</v>
      </c>
      <c r="N57" s="4">
        <f>'Go-to-Market Detail'!Q10</f>
        <v>0</v>
      </c>
      <c r="O57" s="4">
        <f>'Go-to-Market Detail'!R10</f>
        <v>0</v>
      </c>
      <c r="P57" s="4">
        <f>'Go-to-Market Detail'!S10</f>
        <v>0</v>
      </c>
      <c r="Q57" s="4">
        <f>'Go-to-Market Detail'!T10</f>
        <v>0</v>
      </c>
      <c r="R57" s="4">
        <f>'Go-to-Market Detail'!U10</f>
        <v>0</v>
      </c>
      <c r="S57" s="4">
        <f>'Go-to-Market Detail'!V10</f>
        <v>0</v>
      </c>
      <c r="T57" s="4">
        <f>'Go-to-Market Detail'!W10</f>
        <v>0</v>
      </c>
      <c r="U57" s="4">
        <f>'Go-to-Market Detail'!X10</f>
        <v>0</v>
      </c>
      <c r="V57" s="4">
        <f>'Go-to-Market Detail'!Y10</f>
        <v>0</v>
      </c>
      <c r="W57" s="4">
        <f>'Go-to-Market Detail'!Z10</f>
        <v>0</v>
      </c>
      <c r="X57" s="4">
        <f>'Go-to-Market Detail'!AA10</f>
        <v>0</v>
      </c>
      <c r="Y57" s="4">
        <f>'Go-to-Market Detail'!AB10</f>
        <v>0</v>
      </c>
      <c r="Z57" s="4">
        <f>'Go-to-Market Detail'!AC10</f>
        <v>0</v>
      </c>
      <c r="AA57" s="4">
        <f>'Go-to-Market Detail'!AD10</f>
        <v>0</v>
      </c>
      <c r="AB57" s="4">
        <f>'Go-to-Market Detail'!AE10</f>
        <v>0</v>
      </c>
      <c r="AC57" s="44">
        <f>'Go-to-Market Detail'!AF10</f>
        <v>0</v>
      </c>
      <c r="AD57" s="69">
        <f>'Go-to-Market Detail'!AG10</f>
        <v>0</v>
      </c>
      <c r="AE57" s="4">
        <f>'Go-to-Market Detail'!AH10</f>
        <v>0</v>
      </c>
      <c r="AF57" s="4">
        <f>'Go-to-Market Detail'!AI10</f>
        <v>0</v>
      </c>
      <c r="AG57" s="4">
        <f>'Go-to-Market Detail'!AJ10</f>
        <v>0</v>
      </c>
      <c r="AH57" s="4">
        <f>'Go-to-Market Detail'!AK10</f>
        <v>0</v>
      </c>
      <c r="AI57" s="4">
        <f>'Go-to-Market Detail'!AL10</f>
        <v>0</v>
      </c>
      <c r="AJ57" s="4">
        <f>'Go-to-Market Detail'!AM10</f>
        <v>0</v>
      </c>
    </row>
    <row r="58" spans="1:36" outlineLevel="1" collapsed="1" x14ac:dyDescent="0.2">
      <c r="A58" s="42" t="str">
        <f>"  "&amp;'Go-to-Market Detail'!A11</f>
        <v xml:space="preserve">  Customer Success Tools</v>
      </c>
      <c r="B58" s="4">
        <f>'Go-to-Market Detail'!E11</f>
        <v>1000</v>
      </c>
      <c r="C58" s="4">
        <f>'Go-to-Market Detail'!F11</f>
        <v>1080</v>
      </c>
      <c r="D58" s="4">
        <f>'Go-to-Market Detail'!G11</f>
        <v>1166.4000000000001</v>
      </c>
      <c r="E58" s="4">
        <f>'Go-to-Market Detail'!H11</f>
        <v>1259.7120000000002</v>
      </c>
      <c r="F58" s="4">
        <f>'Go-to-Market Detail'!I11</f>
        <v>1360.4889600000004</v>
      </c>
      <c r="G58" s="4">
        <f>'Go-to-Market Detail'!J11</f>
        <v>1469.3280768000004</v>
      </c>
      <c r="H58" s="4">
        <f>'Go-to-Market Detail'!K11</f>
        <v>1586.8743229440006</v>
      </c>
      <c r="I58" s="4">
        <f>'Go-to-Market Detail'!L11</f>
        <v>1713.8242687795207</v>
      </c>
      <c r="J58" s="4">
        <f>'Go-to-Market Detail'!M11</f>
        <v>1850.9302102818824</v>
      </c>
      <c r="K58" s="4">
        <f>'Go-to-Market Detail'!N11</f>
        <v>1999.004627104433</v>
      </c>
      <c r="L58" s="4">
        <f>'Go-to-Market Detail'!O11</f>
        <v>2158.9249972727876</v>
      </c>
      <c r="M58" s="44">
        <f>'Go-to-Market Detail'!P11</f>
        <v>2331.6389970546106</v>
      </c>
      <c r="N58" s="4">
        <f>'Go-to-Market Detail'!Q11</f>
        <v>2518.1701168189797</v>
      </c>
      <c r="O58" s="4">
        <f>'Go-to-Market Detail'!R11</f>
        <v>2719.6237261644983</v>
      </c>
      <c r="P58" s="4">
        <f>'Go-to-Market Detail'!S11</f>
        <v>2937.1936242576585</v>
      </c>
      <c r="Q58" s="4">
        <f>'Go-to-Market Detail'!T11</f>
        <v>3172.1691141982715</v>
      </c>
      <c r="R58" s="4">
        <f>'Go-to-Market Detail'!U11</f>
        <v>3425.9426433341332</v>
      </c>
      <c r="S58" s="4">
        <f>'Go-to-Market Detail'!V11</f>
        <v>3700.0180548008639</v>
      </c>
      <c r="T58" s="4">
        <f>'Go-to-Market Detail'!W11</f>
        <v>3996.0194991849335</v>
      </c>
      <c r="U58" s="4">
        <f>'Go-to-Market Detail'!X11</f>
        <v>4315.7010591197286</v>
      </c>
      <c r="V58" s="4">
        <f>'Go-to-Market Detail'!Y11</f>
        <v>4660.9571438493067</v>
      </c>
      <c r="W58" s="4">
        <f>'Go-to-Market Detail'!Z11</f>
        <v>5033.8337153572511</v>
      </c>
      <c r="X58" s="4">
        <f>'Go-to-Market Detail'!AA11</f>
        <v>5436.5404125858322</v>
      </c>
      <c r="Y58" s="4">
        <f>'Go-to-Market Detail'!AB11</f>
        <v>5871.4636455926984</v>
      </c>
      <c r="Z58" s="4">
        <f>'Go-to-Market Detail'!AC11</f>
        <v>3246.4</v>
      </c>
      <c r="AA58" s="4">
        <f>'Go-to-Market Detail'!AD11</f>
        <v>4089.529036800001</v>
      </c>
      <c r="AB58" s="4">
        <f>'Go-to-Market Detail'!AE11</f>
        <v>5151.6288020054035</v>
      </c>
      <c r="AC58" s="44">
        <f>'Go-to-Market Detail'!AF11</f>
        <v>6489.5686214318312</v>
      </c>
      <c r="AD58" s="69">
        <f>'Go-to-Market Detail'!AG11</f>
        <v>18977.126460237236</v>
      </c>
      <c r="AE58" s="4">
        <f>'Go-to-Market Detail'!AH11</f>
        <v>8174.9874672411361</v>
      </c>
      <c r="AF58" s="4">
        <f>'Go-to-Market Detail'!AI11</f>
        <v>10298.129812333267</v>
      </c>
      <c r="AG58" s="4">
        <f>'Go-to-Market Detail'!AJ11</f>
        <v>12972.677702153967</v>
      </c>
      <c r="AH58" s="4">
        <f>'Go-to-Market Detail'!AK11</f>
        <v>16341.837773535783</v>
      </c>
      <c r="AI58" s="4">
        <f>'Go-to-Market Detail'!AL11</f>
        <v>47787.632755264152</v>
      </c>
      <c r="AJ58" s="4">
        <f>'Go-to-Market Detail'!AM11</f>
        <v>66764.759215501384</v>
      </c>
    </row>
    <row r="59" spans="1:36" outlineLevel="1" collapsed="1" x14ac:dyDescent="0.2">
      <c r="A59" s="42" t="str">
        <f>"  "&amp;'Go-to-Market Detail'!A12</f>
        <v xml:space="preserve">  Marketing Contractors/Agencies</v>
      </c>
      <c r="B59" s="4">
        <f>'Go-to-Market Detail'!E12</f>
        <v>4000</v>
      </c>
      <c r="C59" s="4">
        <f>'Go-to-Market Detail'!F12</f>
        <v>4400</v>
      </c>
      <c r="D59" s="4">
        <f>'Go-to-Market Detail'!G12</f>
        <v>4840.0000000000009</v>
      </c>
      <c r="E59" s="4">
        <f>'Go-to-Market Detail'!H12</f>
        <v>5324.0000000000018</v>
      </c>
      <c r="F59" s="4">
        <f>'Go-to-Market Detail'!I12</f>
        <v>5856.4000000000015</v>
      </c>
      <c r="G59" s="4">
        <f>'Go-to-Market Detail'!J12</f>
        <v>6442.0400000000018</v>
      </c>
      <c r="H59" s="4">
        <f>'Go-to-Market Detail'!K12</f>
        <v>7086.2440000000033</v>
      </c>
      <c r="I59" s="4">
        <f>'Go-to-Market Detail'!L12</f>
        <v>7794.8684000000048</v>
      </c>
      <c r="J59" s="4">
        <f>'Go-to-Market Detail'!M12</f>
        <v>8574.3552400000044</v>
      </c>
      <c r="K59" s="4">
        <f>'Go-to-Market Detail'!N12</f>
        <v>9431.7907640000067</v>
      </c>
      <c r="L59" s="4">
        <f>'Go-to-Market Detail'!O12</f>
        <v>10374.969840400008</v>
      </c>
      <c r="M59" s="44">
        <f>'Go-to-Market Detail'!P12</f>
        <v>11412.466824440009</v>
      </c>
      <c r="N59" s="4">
        <f>'Go-to-Market Detail'!Q12</f>
        <v>12553.713506884011</v>
      </c>
      <c r="O59" s="4">
        <f>'Go-to-Market Detail'!R12</f>
        <v>13809.084857572412</v>
      </c>
      <c r="P59" s="4">
        <f>'Go-to-Market Detail'!S12</f>
        <v>15189.993343329656</v>
      </c>
      <c r="Q59" s="4">
        <f>'Go-to-Market Detail'!T12</f>
        <v>16708.99267766262</v>
      </c>
      <c r="R59" s="4">
        <f>'Go-to-Market Detail'!U12</f>
        <v>18379.891945428884</v>
      </c>
      <c r="S59" s="4">
        <f>'Go-to-Market Detail'!V12</f>
        <v>20217.881139971774</v>
      </c>
      <c r="T59" s="4">
        <f>'Go-to-Market Detail'!W12</f>
        <v>22239.66925396895</v>
      </c>
      <c r="U59" s="4">
        <f>'Go-to-Market Detail'!X12</f>
        <v>24463.636179365854</v>
      </c>
      <c r="V59" s="4">
        <f>'Go-to-Market Detail'!Y12</f>
        <v>26909.999797302436</v>
      </c>
      <c r="W59" s="4">
        <f>'Go-to-Market Detail'!Z12</f>
        <v>29600.999777032685</v>
      </c>
      <c r="X59" s="4">
        <f>'Go-to-Market Detail'!AA12</f>
        <v>32561.099754735955</v>
      </c>
      <c r="Y59" s="4">
        <f>'Go-to-Market Detail'!AB12</f>
        <v>35817.209730209557</v>
      </c>
      <c r="Z59" s="4">
        <f>'Go-to-Market Detail'!AC12</f>
        <v>13240</v>
      </c>
      <c r="AA59" s="4">
        <f>'Go-to-Market Detail'!AD12</f>
        <v>17622.440000000006</v>
      </c>
      <c r="AB59" s="4">
        <f>'Go-to-Market Detail'!AE12</f>
        <v>23455.467640000013</v>
      </c>
      <c r="AC59" s="44">
        <f>'Go-to-Market Detail'!AF12</f>
        <v>31219.227428840022</v>
      </c>
      <c r="AD59" s="69">
        <f>'Go-to-Market Detail'!AG12</f>
        <v>85537.135068840042</v>
      </c>
      <c r="AE59" s="4">
        <f>'Go-to-Market Detail'!AH12</f>
        <v>41552.791707786077</v>
      </c>
      <c r="AF59" s="4">
        <f>'Go-to-Market Detail'!AI12</f>
        <v>55306.765763063282</v>
      </c>
      <c r="AG59" s="4">
        <f>'Go-to-Market Detail'!AJ12</f>
        <v>73613.305230637241</v>
      </c>
      <c r="AH59" s="4">
        <f>'Go-to-Market Detail'!AK12</f>
        <v>97979.309261978196</v>
      </c>
      <c r="AI59" s="4">
        <f>'Go-to-Market Detail'!AL12</f>
        <v>268452.17196346482</v>
      </c>
      <c r="AJ59" s="4">
        <f>'Go-to-Market Detail'!AM12</f>
        <v>353989.30703230487</v>
      </c>
    </row>
    <row r="60" spans="1:36" outlineLevel="1" collapsed="1" x14ac:dyDescent="0.2">
      <c r="A60" s="42" t="str">
        <f>"  "&amp;'Go-to-Market Detail'!A13</f>
        <v xml:space="preserve">  PR &amp; Communications</v>
      </c>
      <c r="B60" s="4">
        <f>'Go-to-Market Detail'!E13</f>
        <v>5000</v>
      </c>
      <c r="C60" s="4">
        <f>'Go-to-Market Detail'!F13</f>
        <v>5000</v>
      </c>
      <c r="D60" s="4">
        <f>'Go-to-Market Detail'!G13</f>
        <v>5000</v>
      </c>
      <c r="E60" s="4">
        <f>'Go-to-Market Detail'!H13</f>
        <v>5000</v>
      </c>
      <c r="F60" s="4">
        <f>'Go-to-Market Detail'!I13</f>
        <v>5000</v>
      </c>
      <c r="G60" s="4">
        <f>'Go-to-Market Detail'!J13</f>
        <v>5000</v>
      </c>
      <c r="H60" s="4">
        <f>'Go-to-Market Detail'!K13</f>
        <v>5000</v>
      </c>
      <c r="I60" s="4">
        <f>'Go-to-Market Detail'!L13</f>
        <v>5000</v>
      </c>
      <c r="J60" s="4">
        <f>'Go-to-Market Detail'!M13</f>
        <v>5000</v>
      </c>
      <c r="K60" s="4">
        <f>'Go-to-Market Detail'!N13</f>
        <v>5000</v>
      </c>
      <c r="L60" s="4">
        <f>'Go-to-Market Detail'!O13</f>
        <v>5000</v>
      </c>
      <c r="M60" s="44">
        <f>'Go-to-Market Detail'!P13</f>
        <v>5000</v>
      </c>
      <c r="N60" s="4">
        <f>'Go-to-Market Detail'!Q13</f>
        <v>5000</v>
      </c>
      <c r="O60" s="4">
        <f>'Go-to-Market Detail'!R13</f>
        <v>5000</v>
      </c>
      <c r="P60" s="4">
        <f>'Go-to-Market Detail'!S13</f>
        <v>5000</v>
      </c>
      <c r="Q60" s="4">
        <f>'Go-to-Market Detail'!T13</f>
        <v>5000</v>
      </c>
      <c r="R60" s="4">
        <f>'Go-to-Market Detail'!U13</f>
        <v>5000</v>
      </c>
      <c r="S60" s="4">
        <f>'Go-to-Market Detail'!V13</f>
        <v>5000</v>
      </c>
      <c r="T60" s="4">
        <f>'Go-to-Market Detail'!W13</f>
        <v>5000</v>
      </c>
      <c r="U60" s="4">
        <f>'Go-to-Market Detail'!X13</f>
        <v>5000</v>
      </c>
      <c r="V60" s="4">
        <f>'Go-to-Market Detail'!Y13</f>
        <v>5000</v>
      </c>
      <c r="W60" s="4">
        <f>'Go-to-Market Detail'!Z13</f>
        <v>5000</v>
      </c>
      <c r="X60" s="4">
        <f>'Go-to-Market Detail'!AA13</f>
        <v>5000</v>
      </c>
      <c r="Y60" s="4">
        <f>'Go-to-Market Detail'!AB13</f>
        <v>5000</v>
      </c>
      <c r="Z60" s="4">
        <f>'Go-to-Market Detail'!AC13</f>
        <v>15000</v>
      </c>
      <c r="AA60" s="4">
        <f>'Go-to-Market Detail'!AD13</f>
        <v>15000</v>
      </c>
      <c r="AB60" s="4">
        <f>'Go-to-Market Detail'!AE13</f>
        <v>15000</v>
      </c>
      <c r="AC60" s="44">
        <f>'Go-to-Market Detail'!AF13</f>
        <v>15000</v>
      </c>
      <c r="AD60" s="69">
        <f>'Go-to-Market Detail'!AG13</f>
        <v>60000</v>
      </c>
      <c r="AE60" s="4">
        <f>'Go-to-Market Detail'!AH13</f>
        <v>15000</v>
      </c>
      <c r="AF60" s="4">
        <f>'Go-to-Market Detail'!AI13</f>
        <v>15000</v>
      </c>
      <c r="AG60" s="4">
        <f>'Go-to-Market Detail'!AJ13</f>
        <v>15000</v>
      </c>
      <c r="AH60" s="4">
        <f>'Go-to-Market Detail'!AK13</f>
        <v>15000</v>
      </c>
      <c r="AI60" s="4">
        <f>'Go-to-Market Detail'!AL13</f>
        <v>60000</v>
      </c>
      <c r="AJ60" s="4">
        <f>'Go-to-Market Detail'!AM13</f>
        <v>120000</v>
      </c>
    </row>
    <row r="61" spans="1:36" x14ac:dyDescent="0.2">
      <c r="A61" s="61" t="s">
        <v>54</v>
      </c>
      <c r="B61" s="13">
        <f>'Go-to-Market Detail'!E14</f>
        <v>24500</v>
      </c>
      <c r="C61" s="13">
        <f>'Go-to-Market Detail'!F14</f>
        <v>26165</v>
      </c>
      <c r="D61" s="13">
        <f>'Go-to-Market Detail'!G14</f>
        <v>28010.65</v>
      </c>
      <c r="E61" s="13">
        <f>'Go-to-Market Detail'!H14</f>
        <v>30058.8485</v>
      </c>
      <c r="F61" s="13">
        <f>'Go-to-Market Detail'!I14</f>
        <v>32334.297384999998</v>
      </c>
      <c r="G61" s="13">
        <f>'Go-to-Market Detail'!J14</f>
        <v>34864.873161650001</v>
      </c>
      <c r="H61" s="13">
        <f>'Go-to-Market Detail'!K14</f>
        <v>37682.048600666501</v>
      </c>
      <c r="I61" s="13">
        <f>'Go-to-Market Detail'!L14</f>
        <v>40821.371766343691</v>
      </c>
      <c r="J61" s="13">
        <f>'Go-to-Market Detail'!M14</f>
        <v>44323.010397087601</v>
      </c>
      <c r="K61" s="13">
        <f>'Go-to-Market Detail'!N14</f>
        <v>48232.37072360819</v>
      </c>
      <c r="L61" s="13">
        <f>'Go-to-Market Detail'!O14</f>
        <v>52600.801094404247</v>
      </c>
      <c r="M61" s="49">
        <f>'Go-to-Market Detail'!P14</f>
        <v>57486.392244590112</v>
      </c>
      <c r="N61" s="13">
        <f>'Go-to-Market Detail'!Q14</f>
        <v>62954.887720422295</v>
      </c>
      <c r="O61" s="13">
        <f>'Go-to-Market Detail'!R14</f>
        <v>69080.719888425912</v>
      </c>
      <c r="P61" s="13">
        <f>'Go-to-Market Detail'!S14</f>
        <v>75948.189149547732</v>
      </c>
      <c r="Q61" s="13">
        <f>'Go-to-Market Detail'!T14</f>
        <v>83652.806485097666</v>
      </c>
      <c r="R61" s="13">
        <f>'Go-to-Market Detail'!U14</f>
        <v>92302.822328010196</v>
      </c>
      <c r="S61" s="13">
        <f>'Go-to-Market Detail'!V14</f>
        <v>102020.96803245434</v>
      </c>
      <c r="T61" s="13">
        <f>'Go-to-Market Detail'!W14</f>
        <v>112946.43996697257</v>
      </c>
      <c r="U61" s="13">
        <f>'Go-to-Market Detail'!X14</f>
        <v>125237.16054982811</v>
      </c>
      <c r="V61" s="13">
        <f>'Go-to-Market Detail'!Y14</f>
        <v>139072.35545882289</v>
      </c>
      <c r="W61" s="13">
        <f>'Go-to-Market Detail'!Z14</f>
        <v>154655.49187178514</v>
      </c>
      <c r="X61" s="13">
        <f>'Go-to-Market Detail'!AA14</f>
        <v>172217.62903169901</v>
      </c>
      <c r="Y61" s="13">
        <f>'Go-to-Market Detail'!AB14</f>
        <v>192021.23980072353</v>
      </c>
      <c r="Z61" s="13">
        <f>'Go-to-Market Detail'!AC14</f>
        <v>78675.649999999994</v>
      </c>
      <c r="AA61" s="13">
        <f>'Go-to-Market Detail'!AD14</f>
        <v>97258.019046650006</v>
      </c>
      <c r="AB61" s="13">
        <f>'Go-to-Market Detail'!AE14</f>
        <v>122826.43076409781</v>
      </c>
      <c r="AC61" s="49">
        <f>'Go-to-Market Detail'!AF14</f>
        <v>158319.56406260253</v>
      </c>
      <c r="AD61" s="74">
        <f>'Go-to-Market Detail'!AG14</f>
        <v>457079.66387335036</v>
      </c>
      <c r="AE61" s="13">
        <f>'Go-to-Market Detail'!AH14</f>
        <v>207983.79675839591</v>
      </c>
      <c r="AF61" s="13">
        <f>'Go-to-Market Detail'!AI14</f>
        <v>277976.59684556222</v>
      </c>
      <c r="AG61" s="13">
        <f>'Go-to-Market Detail'!AJ14</f>
        <v>377255.95597562357</v>
      </c>
      <c r="AH61" s="13">
        <f>'Go-to-Market Detail'!AK14</f>
        <v>518894.36070420773</v>
      </c>
      <c r="AI61" s="13">
        <f>'Go-to-Market Detail'!AL14</f>
        <v>1382110.7102837893</v>
      </c>
      <c r="AJ61" s="13">
        <f>'Go-to-Market Detail'!AM14</f>
        <v>1839190.3741571396</v>
      </c>
    </row>
    <row r="62" spans="1:36" hidden="1" x14ac:dyDescent="0.2">
      <c r="A62" s="57" t="s">
        <v>55</v>
      </c>
      <c r="B62" s="7">
        <f>'Go-to-Market Detail'!E15</f>
        <v>24500</v>
      </c>
      <c r="C62" s="7">
        <f>'Go-to-Market Detail'!F15</f>
        <v>50665</v>
      </c>
      <c r="D62" s="7">
        <f>'Go-to-Market Detail'!G15</f>
        <v>78675.649999999994</v>
      </c>
      <c r="E62" s="7">
        <f>'Go-to-Market Detail'!H15</f>
        <v>108734.49849999999</v>
      </c>
      <c r="F62" s="7">
        <f>'Go-to-Market Detail'!I15</f>
        <v>141068.79588499997</v>
      </c>
      <c r="G62" s="7">
        <f>'Go-to-Market Detail'!J15</f>
        <v>175933.66904664997</v>
      </c>
      <c r="H62" s="7">
        <f>'Go-to-Market Detail'!K15</f>
        <v>213615.71764731646</v>
      </c>
      <c r="I62" s="7">
        <f>'Go-to-Market Detail'!L15</f>
        <v>254437.08941366014</v>
      </c>
      <c r="J62" s="7">
        <f>'Go-to-Market Detail'!M15</f>
        <v>298760.09981074772</v>
      </c>
      <c r="K62" s="7">
        <f>'Go-to-Market Detail'!N15</f>
        <v>346992.4705343559</v>
      </c>
      <c r="L62" s="7">
        <f>'Go-to-Market Detail'!O15</f>
        <v>399593.27162876015</v>
      </c>
      <c r="M62" s="47">
        <f>'Go-to-Market Detail'!P15</f>
        <v>457079.66387335025</v>
      </c>
      <c r="N62" s="7">
        <f>'Go-to-Market Detail'!Q15</f>
        <v>520034.55159377254</v>
      </c>
      <c r="O62" s="7">
        <f>'Go-to-Market Detail'!R15</f>
        <v>589115.2714821985</v>
      </c>
      <c r="P62" s="7">
        <f>'Go-to-Market Detail'!S15</f>
        <v>665063.46063174622</v>
      </c>
      <c r="Q62" s="7">
        <f>'Go-to-Market Detail'!T15</f>
        <v>748716.26711684384</v>
      </c>
      <c r="R62" s="7">
        <f>'Go-to-Market Detail'!U15</f>
        <v>841019.08944485406</v>
      </c>
      <c r="S62" s="7">
        <f>'Go-to-Market Detail'!V15</f>
        <v>943040.05747730844</v>
      </c>
      <c r="T62" s="7">
        <f>'Go-to-Market Detail'!W15</f>
        <v>1055986.4974442809</v>
      </c>
      <c r="U62" s="7">
        <f>'Go-to-Market Detail'!X15</f>
        <v>1181223.657994109</v>
      </c>
      <c r="V62" s="7">
        <f>'Go-to-Market Detail'!Y15</f>
        <v>1320296.0134529318</v>
      </c>
      <c r="W62" s="7">
        <f>'Go-to-Market Detail'!Z15</f>
        <v>1474951.5053247169</v>
      </c>
      <c r="X62" s="7">
        <f>'Go-to-Market Detail'!AA15</f>
        <v>1647169.1343564158</v>
      </c>
      <c r="Y62" s="7">
        <f>'Go-to-Market Detail'!AB15</f>
        <v>1839190.3741571393</v>
      </c>
      <c r="Z62" s="7">
        <f>'Go-to-Market Detail'!AC15</f>
        <v>78675.649999999994</v>
      </c>
      <c r="AA62" s="7">
        <f>'Go-to-Market Detail'!AD15</f>
        <v>175933.66904664997</v>
      </c>
      <c r="AB62" s="7">
        <f>'Go-to-Market Detail'!AE15</f>
        <v>298760.09981074772</v>
      </c>
      <c r="AC62" s="47">
        <f>'Go-to-Market Detail'!AF15</f>
        <v>457079.66387335025</v>
      </c>
      <c r="AD62" s="72">
        <f>'Go-to-Market Detail'!AG15</f>
        <v>457079.66387335025</v>
      </c>
      <c r="AE62" s="7">
        <f>'Go-to-Market Detail'!AH15</f>
        <v>665063.46063174622</v>
      </c>
      <c r="AF62" s="7">
        <f>'Go-to-Market Detail'!AI15</f>
        <v>943040.05747730844</v>
      </c>
      <c r="AG62" s="7">
        <f>'Go-to-Market Detail'!AJ15</f>
        <v>1320296.0134529318</v>
      </c>
      <c r="AH62" s="7">
        <f>'Go-to-Market Detail'!AK15</f>
        <v>1839190.3741571393</v>
      </c>
      <c r="AI62" s="7">
        <f>'Go-to-Market Detail'!AL15</f>
        <v>1839190.3741571393</v>
      </c>
      <c r="AJ62" s="7">
        <f>'Go-to-Market Detail'!AM15</f>
        <v>1839190.3741571393</v>
      </c>
    </row>
    <row r="64" spans="1:36" ht="16" x14ac:dyDescent="0.2">
      <c r="A64" s="62" t="s">
        <v>56</v>
      </c>
    </row>
    <row r="65" spans="1:36" hidden="1" outlineLevel="1" collapsed="1" x14ac:dyDescent="0.2">
      <c r="A65" s="42" t="str">
        <f>"  "&amp;'R&amp;D Detail'!A4</f>
        <v xml:space="preserve">  AI/ML Model Training Compute</v>
      </c>
      <c r="B65" s="4">
        <f>'R&amp;D Detail'!E4</f>
        <v>0</v>
      </c>
      <c r="C65" s="4">
        <f>'R&amp;D Detail'!F4</f>
        <v>0</v>
      </c>
      <c r="D65" s="4">
        <f>'R&amp;D Detail'!G4</f>
        <v>0</v>
      </c>
      <c r="E65" s="4">
        <f>'R&amp;D Detail'!H4</f>
        <v>0</v>
      </c>
      <c r="F65" s="4">
        <f>'R&amp;D Detail'!I4</f>
        <v>0</v>
      </c>
      <c r="G65" s="4">
        <f>'R&amp;D Detail'!J4</f>
        <v>0</v>
      </c>
      <c r="H65" s="4">
        <f>'R&amp;D Detail'!K4</f>
        <v>0</v>
      </c>
      <c r="I65" s="4">
        <f>'R&amp;D Detail'!L4</f>
        <v>0</v>
      </c>
      <c r="J65" s="4">
        <f>'R&amp;D Detail'!M4</f>
        <v>0</v>
      </c>
      <c r="K65" s="4">
        <f>'R&amp;D Detail'!N4</f>
        <v>0</v>
      </c>
      <c r="L65" s="4">
        <f>'R&amp;D Detail'!O4</f>
        <v>0</v>
      </c>
      <c r="M65" s="44">
        <f>'R&amp;D Detail'!P4</f>
        <v>0</v>
      </c>
      <c r="N65" s="4">
        <f>'R&amp;D Detail'!Q4</f>
        <v>0</v>
      </c>
      <c r="O65" s="4">
        <f>'R&amp;D Detail'!R4</f>
        <v>0</v>
      </c>
      <c r="P65" s="4">
        <f>'R&amp;D Detail'!S4</f>
        <v>0</v>
      </c>
      <c r="Q65" s="4">
        <f>'R&amp;D Detail'!T4</f>
        <v>0</v>
      </c>
      <c r="R65" s="4">
        <f>'R&amp;D Detail'!U4</f>
        <v>0</v>
      </c>
      <c r="S65" s="4">
        <f>'R&amp;D Detail'!V4</f>
        <v>0</v>
      </c>
      <c r="T65" s="4">
        <f>'R&amp;D Detail'!W4</f>
        <v>0</v>
      </c>
      <c r="U65" s="4">
        <f>'R&amp;D Detail'!X4</f>
        <v>0</v>
      </c>
      <c r="V65" s="4">
        <f>'R&amp;D Detail'!Y4</f>
        <v>0</v>
      </c>
      <c r="W65" s="4">
        <f>'R&amp;D Detail'!Z4</f>
        <v>0</v>
      </c>
      <c r="X65" s="4">
        <f>'R&amp;D Detail'!AA4</f>
        <v>0</v>
      </c>
      <c r="Y65" s="4">
        <f>'R&amp;D Detail'!AB4</f>
        <v>0</v>
      </c>
      <c r="Z65" s="4">
        <f>'R&amp;D Detail'!AC4</f>
        <v>0</v>
      </c>
      <c r="AA65" s="4">
        <f>'R&amp;D Detail'!AD4</f>
        <v>0</v>
      </c>
      <c r="AB65" s="4">
        <f>'R&amp;D Detail'!AE4</f>
        <v>0</v>
      </c>
      <c r="AC65" s="44">
        <f>'R&amp;D Detail'!AF4</f>
        <v>0</v>
      </c>
      <c r="AD65" s="69">
        <f>'R&amp;D Detail'!AG4</f>
        <v>0</v>
      </c>
      <c r="AE65" s="4">
        <f>'R&amp;D Detail'!AH4</f>
        <v>0</v>
      </c>
      <c r="AF65" s="4">
        <f>'R&amp;D Detail'!AI4</f>
        <v>0</v>
      </c>
      <c r="AG65" s="4">
        <f>'R&amp;D Detail'!AJ4</f>
        <v>0</v>
      </c>
      <c r="AH65" s="4">
        <f>'R&amp;D Detail'!AK4</f>
        <v>0</v>
      </c>
      <c r="AI65" s="4">
        <f>'R&amp;D Detail'!AL4</f>
        <v>0</v>
      </c>
      <c r="AJ65" s="4">
        <f>'R&amp;D Detail'!AM4</f>
        <v>0</v>
      </c>
    </row>
    <row r="66" spans="1:36" hidden="1" outlineLevel="1" collapsed="1" x14ac:dyDescent="0.2">
      <c r="A66" s="42" t="str">
        <f>"  "&amp;'R&amp;D Detail'!A5</f>
        <v xml:space="preserve">  Research Tools &amp; Subscriptions</v>
      </c>
      <c r="B66" s="4">
        <f>'R&amp;D Detail'!E5</f>
        <v>0</v>
      </c>
      <c r="C66" s="4">
        <f>'R&amp;D Detail'!F5</f>
        <v>0</v>
      </c>
      <c r="D66" s="4">
        <f>'R&amp;D Detail'!G5</f>
        <v>0</v>
      </c>
      <c r="E66" s="4">
        <f>'R&amp;D Detail'!H5</f>
        <v>0</v>
      </c>
      <c r="F66" s="4">
        <f>'R&amp;D Detail'!I5</f>
        <v>0</v>
      </c>
      <c r="G66" s="4">
        <f>'R&amp;D Detail'!J5</f>
        <v>0</v>
      </c>
      <c r="H66" s="4">
        <f>'R&amp;D Detail'!K5</f>
        <v>0</v>
      </c>
      <c r="I66" s="4">
        <f>'R&amp;D Detail'!L5</f>
        <v>0</v>
      </c>
      <c r="J66" s="4">
        <f>'R&amp;D Detail'!M5</f>
        <v>0</v>
      </c>
      <c r="K66" s="4">
        <f>'R&amp;D Detail'!N5</f>
        <v>0</v>
      </c>
      <c r="L66" s="4">
        <f>'R&amp;D Detail'!O5</f>
        <v>0</v>
      </c>
      <c r="M66" s="44">
        <f>'R&amp;D Detail'!P5</f>
        <v>0</v>
      </c>
      <c r="N66" s="4">
        <f>'R&amp;D Detail'!Q5</f>
        <v>0</v>
      </c>
      <c r="O66" s="4">
        <f>'R&amp;D Detail'!R5</f>
        <v>0</v>
      </c>
      <c r="P66" s="4">
        <f>'R&amp;D Detail'!S5</f>
        <v>0</v>
      </c>
      <c r="Q66" s="4">
        <f>'R&amp;D Detail'!T5</f>
        <v>0</v>
      </c>
      <c r="R66" s="4">
        <f>'R&amp;D Detail'!U5</f>
        <v>0</v>
      </c>
      <c r="S66" s="4">
        <f>'R&amp;D Detail'!V5</f>
        <v>0</v>
      </c>
      <c r="T66" s="4">
        <f>'R&amp;D Detail'!W5</f>
        <v>0</v>
      </c>
      <c r="U66" s="4">
        <f>'R&amp;D Detail'!X5</f>
        <v>0</v>
      </c>
      <c r="V66" s="4">
        <f>'R&amp;D Detail'!Y5</f>
        <v>0</v>
      </c>
      <c r="W66" s="4">
        <f>'R&amp;D Detail'!Z5</f>
        <v>0</v>
      </c>
      <c r="X66" s="4">
        <f>'R&amp;D Detail'!AA5</f>
        <v>0</v>
      </c>
      <c r="Y66" s="4">
        <f>'R&amp;D Detail'!AB5</f>
        <v>0</v>
      </c>
      <c r="Z66" s="4">
        <f>'R&amp;D Detail'!AC5</f>
        <v>0</v>
      </c>
      <c r="AA66" s="4">
        <f>'R&amp;D Detail'!AD5</f>
        <v>0</v>
      </c>
      <c r="AB66" s="4">
        <f>'R&amp;D Detail'!AE5</f>
        <v>0</v>
      </c>
      <c r="AC66" s="44">
        <f>'R&amp;D Detail'!AF5</f>
        <v>0</v>
      </c>
      <c r="AD66" s="69">
        <f>'R&amp;D Detail'!AG5</f>
        <v>0</v>
      </c>
      <c r="AE66" s="4">
        <f>'R&amp;D Detail'!AH5</f>
        <v>0</v>
      </c>
      <c r="AF66" s="4">
        <f>'R&amp;D Detail'!AI5</f>
        <v>0</v>
      </c>
      <c r="AG66" s="4">
        <f>'R&amp;D Detail'!AJ5</f>
        <v>0</v>
      </c>
      <c r="AH66" s="4">
        <f>'R&amp;D Detail'!AK5</f>
        <v>0</v>
      </c>
      <c r="AI66" s="4">
        <f>'R&amp;D Detail'!AL5</f>
        <v>0</v>
      </c>
      <c r="AJ66" s="4">
        <f>'R&amp;D Detail'!AM5</f>
        <v>0</v>
      </c>
    </row>
    <row r="67" spans="1:36" hidden="1" outlineLevel="1" collapsed="1" x14ac:dyDescent="0.2">
      <c r="A67" s="42" t="str">
        <f>"  "&amp;'R&amp;D Detail'!A6</f>
        <v xml:space="preserve">  User Research &amp; Testing</v>
      </c>
      <c r="B67" s="4">
        <f>'R&amp;D Detail'!E6</f>
        <v>0</v>
      </c>
      <c r="C67" s="4">
        <f>'R&amp;D Detail'!F6</f>
        <v>0</v>
      </c>
      <c r="D67" s="4">
        <f>'R&amp;D Detail'!G6</f>
        <v>0</v>
      </c>
      <c r="E67" s="4">
        <f>'R&amp;D Detail'!H6</f>
        <v>0</v>
      </c>
      <c r="F67" s="4">
        <f>'R&amp;D Detail'!I6</f>
        <v>0</v>
      </c>
      <c r="G67" s="4">
        <f>'R&amp;D Detail'!J6</f>
        <v>0</v>
      </c>
      <c r="H67" s="4">
        <f>'R&amp;D Detail'!K6</f>
        <v>0</v>
      </c>
      <c r="I67" s="4">
        <f>'R&amp;D Detail'!L6</f>
        <v>0</v>
      </c>
      <c r="J67" s="4">
        <f>'R&amp;D Detail'!M6</f>
        <v>0</v>
      </c>
      <c r="K67" s="4">
        <f>'R&amp;D Detail'!N6</f>
        <v>0</v>
      </c>
      <c r="L67" s="4">
        <f>'R&amp;D Detail'!O6</f>
        <v>0</v>
      </c>
      <c r="M67" s="44">
        <f>'R&amp;D Detail'!P6</f>
        <v>0</v>
      </c>
      <c r="N67" s="4">
        <f>'R&amp;D Detail'!Q6</f>
        <v>0</v>
      </c>
      <c r="O67" s="4">
        <f>'R&amp;D Detail'!R6</f>
        <v>0</v>
      </c>
      <c r="P67" s="4">
        <f>'R&amp;D Detail'!S6</f>
        <v>0</v>
      </c>
      <c r="Q67" s="4">
        <f>'R&amp;D Detail'!T6</f>
        <v>0</v>
      </c>
      <c r="R67" s="4">
        <f>'R&amp;D Detail'!U6</f>
        <v>0</v>
      </c>
      <c r="S67" s="4">
        <f>'R&amp;D Detail'!V6</f>
        <v>0</v>
      </c>
      <c r="T67" s="4">
        <f>'R&amp;D Detail'!W6</f>
        <v>0</v>
      </c>
      <c r="U67" s="4">
        <f>'R&amp;D Detail'!X6</f>
        <v>0</v>
      </c>
      <c r="V67" s="4">
        <f>'R&amp;D Detail'!Y6</f>
        <v>0</v>
      </c>
      <c r="W67" s="4">
        <f>'R&amp;D Detail'!Z6</f>
        <v>0</v>
      </c>
      <c r="X67" s="4">
        <f>'R&amp;D Detail'!AA6</f>
        <v>0</v>
      </c>
      <c r="Y67" s="4">
        <f>'R&amp;D Detail'!AB6</f>
        <v>0</v>
      </c>
      <c r="Z67" s="4">
        <f>'R&amp;D Detail'!AC6</f>
        <v>0</v>
      </c>
      <c r="AA67" s="4">
        <f>'R&amp;D Detail'!AD6</f>
        <v>0</v>
      </c>
      <c r="AB67" s="4">
        <f>'R&amp;D Detail'!AE6</f>
        <v>0</v>
      </c>
      <c r="AC67" s="44">
        <f>'R&amp;D Detail'!AF6</f>
        <v>0</v>
      </c>
      <c r="AD67" s="69">
        <f>'R&amp;D Detail'!AG6</f>
        <v>0</v>
      </c>
      <c r="AE67" s="4">
        <f>'R&amp;D Detail'!AH6</f>
        <v>0</v>
      </c>
      <c r="AF67" s="4">
        <f>'R&amp;D Detail'!AI6</f>
        <v>0</v>
      </c>
      <c r="AG67" s="4">
        <f>'R&amp;D Detail'!AJ6</f>
        <v>0</v>
      </c>
      <c r="AH67" s="4">
        <f>'R&amp;D Detail'!AK6</f>
        <v>0</v>
      </c>
      <c r="AI67" s="4">
        <f>'R&amp;D Detail'!AL6</f>
        <v>0</v>
      </c>
      <c r="AJ67" s="4">
        <f>'R&amp;D Detail'!AM6</f>
        <v>0</v>
      </c>
    </row>
    <row r="68" spans="1:36" hidden="1" outlineLevel="1" collapsed="1" x14ac:dyDescent="0.2">
      <c r="A68" s="42" t="str">
        <f>"  "&amp;'R&amp;D Detail'!A7</f>
        <v xml:space="preserve">  Product Analytics Tools</v>
      </c>
      <c r="B68" s="4">
        <f>'R&amp;D Detail'!E7</f>
        <v>0</v>
      </c>
      <c r="C68" s="4">
        <f>'R&amp;D Detail'!F7</f>
        <v>0</v>
      </c>
      <c r="D68" s="4">
        <f>'R&amp;D Detail'!G7</f>
        <v>0</v>
      </c>
      <c r="E68" s="4">
        <f>'R&amp;D Detail'!H7</f>
        <v>0</v>
      </c>
      <c r="F68" s="4">
        <f>'R&amp;D Detail'!I7</f>
        <v>0</v>
      </c>
      <c r="G68" s="4">
        <f>'R&amp;D Detail'!J7</f>
        <v>0</v>
      </c>
      <c r="H68" s="4">
        <f>'R&amp;D Detail'!K7</f>
        <v>0</v>
      </c>
      <c r="I68" s="4">
        <f>'R&amp;D Detail'!L7</f>
        <v>0</v>
      </c>
      <c r="J68" s="4">
        <f>'R&amp;D Detail'!M7</f>
        <v>0</v>
      </c>
      <c r="K68" s="4">
        <f>'R&amp;D Detail'!N7</f>
        <v>0</v>
      </c>
      <c r="L68" s="4">
        <f>'R&amp;D Detail'!O7</f>
        <v>0</v>
      </c>
      <c r="M68" s="44">
        <f>'R&amp;D Detail'!P7</f>
        <v>0</v>
      </c>
      <c r="N68" s="4">
        <f>'R&amp;D Detail'!Q7</f>
        <v>0</v>
      </c>
      <c r="O68" s="4">
        <f>'R&amp;D Detail'!R7</f>
        <v>0</v>
      </c>
      <c r="P68" s="4">
        <f>'R&amp;D Detail'!S7</f>
        <v>0</v>
      </c>
      <c r="Q68" s="4">
        <f>'R&amp;D Detail'!T7</f>
        <v>0</v>
      </c>
      <c r="R68" s="4">
        <f>'R&amp;D Detail'!U7</f>
        <v>0</v>
      </c>
      <c r="S68" s="4">
        <f>'R&amp;D Detail'!V7</f>
        <v>0</v>
      </c>
      <c r="T68" s="4">
        <f>'R&amp;D Detail'!W7</f>
        <v>0</v>
      </c>
      <c r="U68" s="4">
        <f>'R&amp;D Detail'!X7</f>
        <v>0</v>
      </c>
      <c r="V68" s="4">
        <f>'R&amp;D Detail'!Y7</f>
        <v>0</v>
      </c>
      <c r="W68" s="4">
        <f>'R&amp;D Detail'!Z7</f>
        <v>0</v>
      </c>
      <c r="X68" s="4">
        <f>'R&amp;D Detail'!AA7</f>
        <v>0</v>
      </c>
      <c r="Y68" s="4">
        <f>'R&amp;D Detail'!AB7</f>
        <v>0</v>
      </c>
      <c r="Z68" s="4">
        <f>'R&amp;D Detail'!AC7</f>
        <v>0</v>
      </c>
      <c r="AA68" s="4">
        <f>'R&amp;D Detail'!AD7</f>
        <v>0</v>
      </c>
      <c r="AB68" s="4">
        <f>'R&amp;D Detail'!AE7</f>
        <v>0</v>
      </c>
      <c r="AC68" s="44">
        <f>'R&amp;D Detail'!AF7</f>
        <v>0</v>
      </c>
      <c r="AD68" s="69">
        <f>'R&amp;D Detail'!AG7</f>
        <v>0</v>
      </c>
      <c r="AE68" s="4">
        <f>'R&amp;D Detail'!AH7</f>
        <v>0</v>
      </c>
      <c r="AF68" s="4">
        <f>'R&amp;D Detail'!AI7</f>
        <v>0</v>
      </c>
      <c r="AG68" s="4">
        <f>'R&amp;D Detail'!AJ7</f>
        <v>0</v>
      </c>
      <c r="AH68" s="4">
        <f>'R&amp;D Detail'!AK7</f>
        <v>0</v>
      </c>
      <c r="AI68" s="4">
        <f>'R&amp;D Detail'!AL7</f>
        <v>0</v>
      </c>
      <c r="AJ68" s="4">
        <f>'R&amp;D Detail'!AM7</f>
        <v>0</v>
      </c>
    </row>
    <row r="69" spans="1:36" hidden="1" outlineLevel="1" collapsed="1" x14ac:dyDescent="0.2">
      <c r="A69" s="42" t="str">
        <f>"  "&amp;'R&amp;D Detail'!A8</f>
        <v xml:space="preserve">  API &amp; Integration Costs</v>
      </c>
      <c r="B69" s="4">
        <f>'R&amp;D Detail'!E8</f>
        <v>0</v>
      </c>
      <c r="C69" s="4">
        <f>'R&amp;D Detail'!F8</f>
        <v>0</v>
      </c>
      <c r="D69" s="4">
        <f>'R&amp;D Detail'!G8</f>
        <v>0</v>
      </c>
      <c r="E69" s="4">
        <f>'R&amp;D Detail'!H8</f>
        <v>0</v>
      </c>
      <c r="F69" s="4">
        <f>'R&amp;D Detail'!I8</f>
        <v>0</v>
      </c>
      <c r="G69" s="4">
        <f>'R&amp;D Detail'!J8</f>
        <v>0</v>
      </c>
      <c r="H69" s="4">
        <f>'R&amp;D Detail'!K8</f>
        <v>0</v>
      </c>
      <c r="I69" s="4">
        <f>'R&amp;D Detail'!L8</f>
        <v>0</v>
      </c>
      <c r="J69" s="4">
        <f>'R&amp;D Detail'!M8</f>
        <v>0</v>
      </c>
      <c r="K69" s="4">
        <f>'R&amp;D Detail'!N8</f>
        <v>0</v>
      </c>
      <c r="L69" s="4">
        <f>'R&amp;D Detail'!O8</f>
        <v>0</v>
      </c>
      <c r="M69" s="44">
        <f>'R&amp;D Detail'!P8</f>
        <v>0</v>
      </c>
      <c r="N69" s="4">
        <f>'R&amp;D Detail'!Q8</f>
        <v>0</v>
      </c>
      <c r="O69" s="4">
        <f>'R&amp;D Detail'!R8</f>
        <v>0</v>
      </c>
      <c r="P69" s="4">
        <f>'R&amp;D Detail'!S8</f>
        <v>0</v>
      </c>
      <c r="Q69" s="4">
        <f>'R&amp;D Detail'!T8</f>
        <v>0</v>
      </c>
      <c r="R69" s="4">
        <f>'R&amp;D Detail'!U8</f>
        <v>0</v>
      </c>
      <c r="S69" s="4">
        <f>'R&amp;D Detail'!V8</f>
        <v>0</v>
      </c>
      <c r="T69" s="4">
        <f>'R&amp;D Detail'!W8</f>
        <v>0</v>
      </c>
      <c r="U69" s="4">
        <f>'R&amp;D Detail'!X8</f>
        <v>0</v>
      </c>
      <c r="V69" s="4">
        <f>'R&amp;D Detail'!Y8</f>
        <v>0</v>
      </c>
      <c r="W69" s="4">
        <f>'R&amp;D Detail'!Z8</f>
        <v>0</v>
      </c>
      <c r="X69" s="4">
        <f>'R&amp;D Detail'!AA8</f>
        <v>0</v>
      </c>
      <c r="Y69" s="4">
        <f>'R&amp;D Detail'!AB8</f>
        <v>0</v>
      </c>
      <c r="Z69" s="4">
        <f>'R&amp;D Detail'!AC8</f>
        <v>0</v>
      </c>
      <c r="AA69" s="4">
        <f>'R&amp;D Detail'!AD8</f>
        <v>0</v>
      </c>
      <c r="AB69" s="4">
        <f>'R&amp;D Detail'!AE8</f>
        <v>0</v>
      </c>
      <c r="AC69" s="44">
        <f>'R&amp;D Detail'!AF8</f>
        <v>0</v>
      </c>
      <c r="AD69" s="69">
        <f>'R&amp;D Detail'!AG8</f>
        <v>0</v>
      </c>
      <c r="AE69" s="4">
        <f>'R&amp;D Detail'!AH8</f>
        <v>0</v>
      </c>
      <c r="AF69" s="4">
        <f>'R&amp;D Detail'!AI8</f>
        <v>0</v>
      </c>
      <c r="AG69" s="4">
        <f>'R&amp;D Detail'!AJ8</f>
        <v>0</v>
      </c>
      <c r="AH69" s="4">
        <f>'R&amp;D Detail'!AK8</f>
        <v>0</v>
      </c>
      <c r="AI69" s="4">
        <f>'R&amp;D Detail'!AL8</f>
        <v>0</v>
      </c>
      <c r="AJ69" s="4">
        <f>'R&amp;D Detail'!AM8</f>
        <v>0</v>
      </c>
    </row>
    <row r="70" spans="1:36" hidden="1" outlineLevel="1" collapsed="1" x14ac:dyDescent="0.2">
      <c r="A70" s="42" t="str">
        <f>"  "&amp;'R&amp;D Detail'!A9</f>
        <v xml:space="preserve">  Prototyping &amp; Design Tools</v>
      </c>
      <c r="B70" s="4">
        <f>'R&amp;D Detail'!E9</f>
        <v>0</v>
      </c>
      <c r="C70" s="4">
        <f>'R&amp;D Detail'!F9</f>
        <v>0</v>
      </c>
      <c r="D70" s="4">
        <f>'R&amp;D Detail'!G9</f>
        <v>0</v>
      </c>
      <c r="E70" s="4">
        <f>'R&amp;D Detail'!H9</f>
        <v>0</v>
      </c>
      <c r="F70" s="4">
        <f>'R&amp;D Detail'!I9</f>
        <v>0</v>
      </c>
      <c r="G70" s="4">
        <f>'R&amp;D Detail'!J9</f>
        <v>0</v>
      </c>
      <c r="H70" s="4">
        <f>'R&amp;D Detail'!K9</f>
        <v>0</v>
      </c>
      <c r="I70" s="4">
        <f>'R&amp;D Detail'!L9</f>
        <v>0</v>
      </c>
      <c r="J70" s="4">
        <f>'R&amp;D Detail'!M9</f>
        <v>0</v>
      </c>
      <c r="K70" s="4">
        <f>'R&amp;D Detail'!N9</f>
        <v>0</v>
      </c>
      <c r="L70" s="4">
        <f>'R&amp;D Detail'!O9</f>
        <v>0</v>
      </c>
      <c r="M70" s="44">
        <f>'R&amp;D Detail'!P9</f>
        <v>0</v>
      </c>
      <c r="N70" s="4">
        <f>'R&amp;D Detail'!Q9</f>
        <v>0</v>
      </c>
      <c r="O70" s="4">
        <f>'R&amp;D Detail'!R9</f>
        <v>0</v>
      </c>
      <c r="P70" s="4">
        <f>'R&amp;D Detail'!S9</f>
        <v>0</v>
      </c>
      <c r="Q70" s="4">
        <f>'R&amp;D Detail'!T9</f>
        <v>0</v>
      </c>
      <c r="R70" s="4">
        <f>'R&amp;D Detail'!U9</f>
        <v>0</v>
      </c>
      <c r="S70" s="4">
        <f>'R&amp;D Detail'!V9</f>
        <v>0</v>
      </c>
      <c r="T70" s="4">
        <f>'R&amp;D Detail'!W9</f>
        <v>0</v>
      </c>
      <c r="U70" s="4">
        <f>'R&amp;D Detail'!X9</f>
        <v>0</v>
      </c>
      <c r="V70" s="4">
        <f>'R&amp;D Detail'!Y9</f>
        <v>0</v>
      </c>
      <c r="W70" s="4">
        <f>'R&amp;D Detail'!Z9</f>
        <v>0</v>
      </c>
      <c r="X70" s="4">
        <f>'R&amp;D Detail'!AA9</f>
        <v>0</v>
      </c>
      <c r="Y70" s="4">
        <f>'R&amp;D Detail'!AB9</f>
        <v>0</v>
      </c>
      <c r="Z70" s="4">
        <f>'R&amp;D Detail'!AC9</f>
        <v>0</v>
      </c>
      <c r="AA70" s="4">
        <f>'R&amp;D Detail'!AD9</f>
        <v>0</v>
      </c>
      <c r="AB70" s="4">
        <f>'R&amp;D Detail'!AE9</f>
        <v>0</v>
      </c>
      <c r="AC70" s="44">
        <f>'R&amp;D Detail'!AF9</f>
        <v>0</v>
      </c>
      <c r="AD70" s="69">
        <f>'R&amp;D Detail'!AG9</f>
        <v>0</v>
      </c>
      <c r="AE70" s="4">
        <f>'R&amp;D Detail'!AH9</f>
        <v>0</v>
      </c>
      <c r="AF70" s="4">
        <f>'R&amp;D Detail'!AI9</f>
        <v>0</v>
      </c>
      <c r="AG70" s="4">
        <f>'R&amp;D Detail'!AJ9</f>
        <v>0</v>
      </c>
      <c r="AH70" s="4">
        <f>'R&amp;D Detail'!AK9</f>
        <v>0</v>
      </c>
      <c r="AI70" s="4">
        <f>'R&amp;D Detail'!AL9</f>
        <v>0</v>
      </c>
      <c r="AJ70" s="4">
        <f>'R&amp;D Detail'!AM9</f>
        <v>0</v>
      </c>
    </row>
    <row r="71" spans="1:36" collapsed="1" x14ac:dyDescent="0.2">
      <c r="A71" s="63" t="s">
        <v>57</v>
      </c>
      <c r="B71" s="14">
        <f>'R&amp;D Detail'!E10</f>
        <v>0</v>
      </c>
      <c r="C71" s="14">
        <f>'R&amp;D Detail'!F10</f>
        <v>0</v>
      </c>
      <c r="D71" s="14">
        <f>'R&amp;D Detail'!G10</f>
        <v>0</v>
      </c>
      <c r="E71" s="14">
        <f>'R&amp;D Detail'!H10</f>
        <v>0</v>
      </c>
      <c r="F71" s="14">
        <f>'R&amp;D Detail'!I10</f>
        <v>0</v>
      </c>
      <c r="G71" s="14">
        <f>'R&amp;D Detail'!J10</f>
        <v>0</v>
      </c>
      <c r="H71" s="14">
        <f>'R&amp;D Detail'!K10</f>
        <v>0</v>
      </c>
      <c r="I71" s="14">
        <f>'R&amp;D Detail'!L10</f>
        <v>0</v>
      </c>
      <c r="J71" s="14">
        <f>'R&amp;D Detail'!M10</f>
        <v>0</v>
      </c>
      <c r="K71" s="14">
        <f>'R&amp;D Detail'!N10</f>
        <v>0</v>
      </c>
      <c r="L71" s="14">
        <f>'R&amp;D Detail'!O10</f>
        <v>0</v>
      </c>
      <c r="M71" s="50">
        <f>'R&amp;D Detail'!P10</f>
        <v>0</v>
      </c>
      <c r="N71" s="14">
        <f>'R&amp;D Detail'!Q10</f>
        <v>0</v>
      </c>
      <c r="O71" s="14">
        <f>'R&amp;D Detail'!R10</f>
        <v>0</v>
      </c>
      <c r="P71" s="14">
        <f>'R&amp;D Detail'!S10</f>
        <v>0</v>
      </c>
      <c r="Q71" s="14">
        <f>'R&amp;D Detail'!T10</f>
        <v>0</v>
      </c>
      <c r="R71" s="14">
        <f>'R&amp;D Detail'!U10</f>
        <v>0</v>
      </c>
      <c r="S71" s="14">
        <f>'R&amp;D Detail'!V10</f>
        <v>0</v>
      </c>
      <c r="T71" s="14">
        <f>'R&amp;D Detail'!W10</f>
        <v>0</v>
      </c>
      <c r="U71" s="14">
        <f>'R&amp;D Detail'!X10</f>
        <v>0</v>
      </c>
      <c r="V71" s="14">
        <f>'R&amp;D Detail'!Y10</f>
        <v>0</v>
      </c>
      <c r="W71" s="14">
        <f>'R&amp;D Detail'!Z10</f>
        <v>0</v>
      </c>
      <c r="X71" s="14">
        <f>'R&amp;D Detail'!AA10</f>
        <v>0</v>
      </c>
      <c r="Y71" s="14">
        <f>'R&amp;D Detail'!AB10</f>
        <v>0</v>
      </c>
      <c r="Z71" s="14">
        <f>'R&amp;D Detail'!AC10</f>
        <v>0</v>
      </c>
      <c r="AA71" s="14">
        <f>'R&amp;D Detail'!AD10</f>
        <v>0</v>
      </c>
      <c r="AB71" s="14">
        <f>'R&amp;D Detail'!AE10</f>
        <v>0</v>
      </c>
      <c r="AC71" s="50">
        <f>'R&amp;D Detail'!AF10</f>
        <v>0</v>
      </c>
      <c r="AD71" s="75">
        <f>'R&amp;D Detail'!AG10</f>
        <v>0</v>
      </c>
      <c r="AE71" s="14">
        <f>'R&amp;D Detail'!AH10</f>
        <v>0</v>
      </c>
      <c r="AF71" s="14">
        <f>'R&amp;D Detail'!AI10</f>
        <v>0</v>
      </c>
      <c r="AG71" s="14">
        <f>'R&amp;D Detail'!AJ10</f>
        <v>0</v>
      </c>
      <c r="AH71" s="14">
        <f>'R&amp;D Detail'!AK10</f>
        <v>0</v>
      </c>
      <c r="AI71" s="14">
        <f>'R&amp;D Detail'!AL10</f>
        <v>0</v>
      </c>
      <c r="AJ71" s="14">
        <f>'R&amp;D Detail'!AM10</f>
        <v>0</v>
      </c>
    </row>
    <row r="72" spans="1:36" hidden="1" x14ac:dyDescent="0.2">
      <c r="A72" s="57" t="s">
        <v>58</v>
      </c>
      <c r="B72" s="7">
        <f>'R&amp;D Detail'!E11</f>
        <v>0</v>
      </c>
      <c r="C72" s="7">
        <f>'R&amp;D Detail'!F11</f>
        <v>0</v>
      </c>
      <c r="D72" s="7">
        <f>'R&amp;D Detail'!G11</f>
        <v>0</v>
      </c>
      <c r="E72" s="7">
        <f>'R&amp;D Detail'!H11</f>
        <v>0</v>
      </c>
      <c r="F72" s="7">
        <f>'R&amp;D Detail'!I11</f>
        <v>0</v>
      </c>
      <c r="G72" s="7">
        <f>'R&amp;D Detail'!J11</f>
        <v>0</v>
      </c>
      <c r="H72" s="7">
        <f>'R&amp;D Detail'!K11</f>
        <v>0</v>
      </c>
      <c r="I72" s="7">
        <f>'R&amp;D Detail'!L11</f>
        <v>0</v>
      </c>
      <c r="J72" s="7">
        <f>'R&amp;D Detail'!M11</f>
        <v>0</v>
      </c>
      <c r="K72" s="7">
        <f>'R&amp;D Detail'!N11</f>
        <v>0</v>
      </c>
      <c r="L72" s="7">
        <f>'R&amp;D Detail'!O11</f>
        <v>0</v>
      </c>
      <c r="M72" s="47">
        <f>'R&amp;D Detail'!P11</f>
        <v>0</v>
      </c>
      <c r="N72" s="7">
        <f>'R&amp;D Detail'!Q11</f>
        <v>0</v>
      </c>
      <c r="O72" s="7">
        <f>'R&amp;D Detail'!R11</f>
        <v>0</v>
      </c>
      <c r="P72" s="7">
        <f>'R&amp;D Detail'!S11</f>
        <v>0</v>
      </c>
      <c r="Q72" s="7">
        <f>'R&amp;D Detail'!T11</f>
        <v>0</v>
      </c>
      <c r="R72" s="7">
        <f>'R&amp;D Detail'!U11</f>
        <v>0</v>
      </c>
      <c r="S72" s="7">
        <f>'R&amp;D Detail'!V11</f>
        <v>0</v>
      </c>
      <c r="T72" s="7">
        <f>'R&amp;D Detail'!W11</f>
        <v>0</v>
      </c>
      <c r="U72" s="7">
        <f>'R&amp;D Detail'!X11</f>
        <v>0</v>
      </c>
      <c r="V72" s="7">
        <f>'R&amp;D Detail'!Y11</f>
        <v>0</v>
      </c>
      <c r="W72" s="7">
        <f>'R&amp;D Detail'!Z11</f>
        <v>0</v>
      </c>
      <c r="X72" s="7">
        <f>'R&amp;D Detail'!AA11</f>
        <v>0</v>
      </c>
      <c r="Y72" s="7">
        <f>'R&amp;D Detail'!AB11</f>
        <v>0</v>
      </c>
      <c r="Z72" s="7">
        <f>'R&amp;D Detail'!AC11</f>
        <v>0</v>
      </c>
      <c r="AA72" s="7">
        <f>'R&amp;D Detail'!AD11</f>
        <v>0</v>
      </c>
      <c r="AB72" s="7">
        <f>'R&amp;D Detail'!AE11</f>
        <v>0</v>
      </c>
      <c r="AC72" s="47">
        <f>'R&amp;D Detail'!AF11</f>
        <v>0</v>
      </c>
      <c r="AD72" s="72">
        <f>'R&amp;D Detail'!AG11</f>
        <v>0</v>
      </c>
      <c r="AE72" s="7">
        <f>'R&amp;D Detail'!AH11</f>
        <v>0</v>
      </c>
      <c r="AF72" s="7">
        <f>'R&amp;D Detail'!AI11</f>
        <v>0</v>
      </c>
      <c r="AG72" s="7">
        <f>'R&amp;D Detail'!AJ11</f>
        <v>0</v>
      </c>
      <c r="AH72" s="7">
        <f>'R&amp;D Detail'!AK11</f>
        <v>0</v>
      </c>
      <c r="AI72" s="7">
        <f>'R&amp;D Detail'!AL11</f>
        <v>0</v>
      </c>
      <c r="AJ72" s="7">
        <f>'R&amp;D Detail'!AM11</f>
        <v>0</v>
      </c>
    </row>
    <row r="74" spans="1:36" ht="16" x14ac:dyDescent="0.2">
      <c r="A74" s="64" t="s">
        <v>59</v>
      </c>
      <c r="B74" s="15">
        <f t="shared" ref="B74:AJ74" si="0">B33+B47+B61+B71</f>
        <v>94062.5</v>
      </c>
      <c r="C74" s="15">
        <f t="shared" si="0"/>
        <v>103227.5</v>
      </c>
      <c r="D74" s="15">
        <f t="shared" si="0"/>
        <v>289752.90000000002</v>
      </c>
      <c r="E74" s="15">
        <f t="shared" si="0"/>
        <v>242540.791</v>
      </c>
      <c r="F74" s="15">
        <f t="shared" si="0"/>
        <v>275871.57565999997</v>
      </c>
      <c r="G74" s="15">
        <f t="shared" si="0"/>
        <v>269279.38990990003</v>
      </c>
      <c r="H74" s="15">
        <f t="shared" si="0"/>
        <v>299927.57998261403</v>
      </c>
      <c r="I74" s="15">
        <f t="shared" si="0"/>
        <v>294109.24235256214</v>
      </c>
      <c r="J74" s="15">
        <f t="shared" si="0"/>
        <v>298747.83509434568</v>
      </c>
      <c r="K74" s="15">
        <f t="shared" si="0"/>
        <v>303897.87035415985</v>
      </c>
      <c r="L74" s="15">
        <f t="shared" si="0"/>
        <v>309620.69897004199</v>
      </c>
      <c r="M74" s="51">
        <f t="shared" si="0"/>
        <v>315985.39981006755</v>
      </c>
      <c r="N74" s="15">
        <f t="shared" si="0"/>
        <v>323069.78814716486</v>
      </c>
      <c r="O74" s="15">
        <f t="shared" si="0"/>
        <v>330961.55938634358</v>
      </c>
      <c r="P74" s="15">
        <f t="shared" si="0"/>
        <v>339759.58674028696</v>
      </c>
      <c r="Q74" s="15">
        <f t="shared" si="0"/>
        <v>349575.39405308926</v>
      </c>
      <c r="R74" s="15">
        <f t="shared" si="0"/>
        <v>360534.82794592518</v>
      </c>
      <c r="S74" s="15">
        <f t="shared" si="0"/>
        <v>372779.95685589942</v>
      </c>
      <c r="T74" s="15">
        <f t="shared" si="0"/>
        <v>386471.22842122463</v>
      </c>
      <c r="U74" s="15">
        <f t="shared" si="0"/>
        <v>401789.92110210378</v>
      </c>
      <c r="V74" s="15">
        <f t="shared" si="0"/>
        <v>418940.93099726888</v>
      </c>
      <c r="W74" s="15">
        <f t="shared" si="0"/>
        <v>438155.94061275141</v>
      </c>
      <c r="X74" s="15">
        <f t="shared" si="0"/>
        <v>459697.02296719258</v>
      </c>
      <c r="Y74" s="15">
        <f t="shared" si="0"/>
        <v>483860.74199721974</v>
      </c>
      <c r="Z74" s="15">
        <f t="shared" si="0"/>
        <v>487042.9</v>
      </c>
      <c r="AA74" s="15">
        <f t="shared" si="0"/>
        <v>787691.75656990008</v>
      </c>
      <c r="AB74" s="15">
        <f t="shared" si="0"/>
        <v>892784.6574295219</v>
      </c>
      <c r="AC74" s="51">
        <f t="shared" si="0"/>
        <v>929503.96913426928</v>
      </c>
      <c r="AD74" s="76">
        <f t="shared" si="0"/>
        <v>3097023.2831336912</v>
      </c>
      <c r="AE74" s="15">
        <f t="shared" si="0"/>
        <v>993790.93427379546</v>
      </c>
      <c r="AF74" s="15">
        <f t="shared" si="0"/>
        <v>1082890.1788549139</v>
      </c>
      <c r="AG74" s="15">
        <f t="shared" si="0"/>
        <v>1207202.0805205973</v>
      </c>
      <c r="AH74" s="15">
        <f t="shared" si="0"/>
        <v>1381713.705577164</v>
      </c>
      <c r="AI74" s="15">
        <f t="shared" si="0"/>
        <v>4665596.8992264699</v>
      </c>
      <c r="AJ74" s="15">
        <f t="shared" si="0"/>
        <v>7762620.1823601611</v>
      </c>
    </row>
    <row r="75" spans="1:36" hidden="1" x14ac:dyDescent="0.2">
      <c r="A75" s="65" t="s">
        <v>60</v>
      </c>
      <c r="B75" s="7">
        <f>B74</f>
        <v>94062.5</v>
      </c>
      <c r="C75" s="7">
        <f t="shared" ref="C75:Y75" si="1">B75+C74</f>
        <v>197290</v>
      </c>
      <c r="D75" s="7">
        <f t="shared" si="1"/>
        <v>487042.9</v>
      </c>
      <c r="E75" s="7">
        <f t="shared" si="1"/>
        <v>729583.69099999999</v>
      </c>
      <c r="F75" s="7">
        <f t="shared" si="1"/>
        <v>1005455.26666</v>
      </c>
      <c r="G75" s="7">
        <f t="shared" si="1"/>
        <v>1274734.6565699</v>
      </c>
      <c r="H75" s="7">
        <f t="shared" si="1"/>
        <v>1574662.2365525141</v>
      </c>
      <c r="I75" s="7">
        <f t="shared" si="1"/>
        <v>1868771.4789050762</v>
      </c>
      <c r="J75" s="7">
        <f t="shared" si="1"/>
        <v>2167519.3139994219</v>
      </c>
      <c r="K75" s="7">
        <f t="shared" si="1"/>
        <v>2471417.1843535816</v>
      </c>
      <c r="L75" s="7">
        <f t="shared" si="1"/>
        <v>2781037.8833236238</v>
      </c>
      <c r="M75" s="47">
        <f t="shared" si="1"/>
        <v>3097023.2831336912</v>
      </c>
      <c r="N75" s="7">
        <f t="shared" si="1"/>
        <v>3420093.0712808562</v>
      </c>
      <c r="O75" s="7">
        <f t="shared" si="1"/>
        <v>3751054.6306671998</v>
      </c>
      <c r="P75" s="7">
        <f t="shared" si="1"/>
        <v>4090814.2174074869</v>
      </c>
      <c r="Q75" s="7">
        <f t="shared" si="1"/>
        <v>4440389.6114605758</v>
      </c>
      <c r="R75" s="7">
        <f t="shared" si="1"/>
        <v>4800924.4394065011</v>
      </c>
      <c r="S75" s="7">
        <f t="shared" si="1"/>
        <v>5173704.3962624008</v>
      </c>
      <c r="T75" s="7">
        <f t="shared" si="1"/>
        <v>5560175.6246836251</v>
      </c>
      <c r="U75" s="7">
        <f t="shared" si="1"/>
        <v>5961965.5457857288</v>
      </c>
      <c r="V75" s="7">
        <f t="shared" si="1"/>
        <v>6380906.4767829981</v>
      </c>
      <c r="W75" s="7">
        <f t="shared" si="1"/>
        <v>6819062.4173957491</v>
      </c>
      <c r="X75" s="7">
        <f t="shared" si="1"/>
        <v>7278759.4403629415</v>
      </c>
      <c r="Y75" s="7">
        <f t="shared" si="1"/>
        <v>7762620.1823601611</v>
      </c>
      <c r="Z75" s="7">
        <f>D75</f>
        <v>487042.9</v>
      </c>
      <c r="AA75" s="7">
        <f>G75</f>
        <v>1274734.6565699</v>
      </c>
      <c r="AB75" s="7">
        <f>J75</f>
        <v>2167519.3139994219</v>
      </c>
      <c r="AC75" s="47">
        <f>M75</f>
        <v>3097023.2831336912</v>
      </c>
      <c r="AD75" s="77">
        <f>AC75</f>
        <v>3097023.2831336912</v>
      </c>
      <c r="AE75" s="7">
        <f>P75</f>
        <v>4090814.2174074869</v>
      </c>
      <c r="AF75" s="7">
        <f>S75</f>
        <v>5173704.3962624008</v>
      </c>
      <c r="AG75" s="7">
        <f>V75</f>
        <v>6380906.4767829981</v>
      </c>
      <c r="AH75" s="7">
        <f>Y75</f>
        <v>7762620.1823601611</v>
      </c>
      <c r="AI75" s="8">
        <f>AH75</f>
        <v>7762620.1823601611</v>
      </c>
      <c r="AJ75" s="8">
        <f>Y75</f>
        <v>7762620.1823601611</v>
      </c>
    </row>
  </sheetData>
  <pageMargins left="0.7" right="0.7" top="0.75" bottom="0.75" header="0.3" footer="0.3"/>
  <pageSetup orientation="portrait" horizontalDpi="4294967295" verticalDpi="429496729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N30"/>
  <sheetViews>
    <sheetView zoomScale="190" zoomScaleNormal="190" workbookViewId="0">
      <selection activeCell="C27" sqref="C27"/>
    </sheetView>
  </sheetViews>
  <sheetFormatPr baseColWidth="10" defaultColWidth="8.83203125" defaultRowHeight="15" outlineLevelCol="1" x14ac:dyDescent="0.2"/>
  <cols>
    <col min="1" max="1" width="25.5" customWidth="1"/>
    <col min="2" max="2" width="12.6640625" customWidth="1"/>
    <col min="3" max="3" width="12" customWidth="1"/>
    <col min="4" max="4" width="14" customWidth="1"/>
    <col min="5" max="16" width="11" customWidth="1"/>
    <col min="17" max="28" width="11" hidden="1" customWidth="1" outlineLevel="1" collapsed="1"/>
    <col min="29" max="29" width="11" customWidth="1" collapsed="1"/>
    <col min="30" max="33" width="11" customWidth="1"/>
    <col min="34" max="39" width="11" hidden="1" customWidth="1" outlineLevel="1"/>
    <col min="40" max="40" width="8.83203125" collapsed="1"/>
  </cols>
  <sheetData>
    <row r="1" spans="1:39" ht="16" x14ac:dyDescent="0.2">
      <c r="A1" s="16" t="s">
        <v>61</v>
      </c>
      <c r="B1" s="16" t="s">
        <v>62</v>
      </c>
      <c r="C1" s="16" t="s">
        <v>63</v>
      </c>
      <c r="D1" s="16" t="s">
        <v>64</v>
      </c>
      <c r="E1" s="16" t="s">
        <v>1</v>
      </c>
      <c r="F1" s="16" t="s">
        <v>2</v>
      </c>
      <c r="G1" s="16" t="s">
        <v>3</v>
      </c>
      <c r="H1" s="16" t="s">
        <v>4</v>
      </c>
      <c r="I1" s="16" t="s">
        <v>5</v>
      </c>
      <c r="J1" s="16" t="s">
        <v>6</v>
      </c>
      <c r="K1" s="16" t="s">
        <v>7</v>
      </c>
      <c r="L1" s="16" t="s">
        <v>8</v>
      </c>
      <c r="M1" s="16" t="s">
        <v>9</v>
      </c>
      <c r="N1" s="16" t="s">
        <v>10</v>
      </c>
      <c r="O1" s="16" t="s">
        <v>11</v>
      </c>
      <c r="P1" s="16" t="s">
        <v>12</v>
      </c>
      <c r="Q1" s="16" t="s">
        <v>13</v>
      </c>
      <c r="R1" s="16" t="s">
        <v>14</v>
      </c>
      <c r="S1" s="16" t="s">
        <v>15</v>
      </c>
      <c r="T1" s="16" t="s">
        <v>16</v>
      </c>
      <c r="U1" s="16" t="s">
        <v>17</v>
      </c>
      <c r="V1" s="16" t="s">
        <v>18</v>
      </c>
      <c r="W1" s="16" t="s">
        <v>19</v>
      </c>
      <c r="X1" s="16" t="s">
        <v>20</v>
      </c>
      <c r="Y1" s="16" t="s">
        <v>21</v>
      </c>
      <c r="Z1" s="16" t="s">
        <v>22</v>
      </c>
      <c r="AA1" s="16" t="s">
        <v>23</v>
      </c>
      <c r="AB1" s="16" t="s">
        <v>24</v>
      </c>
      <c r="AC1" s="2" t="s">
        <v>25</v>
      </c>
      <c r="AD1" s="2" t="s">
        <v>26</v>
      </c>
      <c r="AE1" s="2" t="s">
        <v>27</v>
      </c>
      <c r="AF1" s="2" t="s">
        <v>28</v>
      </c>
      <c r="AG1" s="2" t="s">
        <v>29</v>
      </c>
      <c r="AH1" s="2" t="s">
        <v>30</v>
      </c>
      <c r="AI1" s="2" t="s">
        <v>31</v>
      </c>
      <c r="AJ1" s="2" t="s">
        <v>32</v>
      </c>
      <c r="AK1" s="2" t="s">
        <v>33</v>
      </c>
      <c r="AL1" s="2" t="s">
        <v>34</v>
      </c>
      <c r="AM1" s="2" t="s">
        <v>35</v>
      </c>
    </row>
    <row r="2" spans="1:39" x14ac:dyDescent="0.2">
      <c r="A2" t="s">
        <v>65</v>
      </c>
      <c r="B2" s="4">
        <v>500000</v>
      </c>
      <c r="C2">
        <v>3</v>
      </c>
      <c r="D2" s="4">
        <f t="shared" ref="D2:D25" si="0">B2/12</f>
        <v>41666.666666666664</v>
      </c>
      <c r="E2" s="4">
        <f t="shared" ref="E2:E25" si="1">IF(1&gt;=C2,D2,0)</f>
        <v>0</v>
      </c>
      <c r="F2" s="4">
        <f t="shared" ref="F2:F25" si="2">IF(2&gt;=C2,D2,0)</f>
        <v>0</v>
      </c>
      <c r="G2" s="4">
        <f t="shared" ref="G2:G25" si="3">IF(3&gt;=C2,D2,0)</f>
        <v>41666.666666666664</v>
      </c>
      <c r="H2" s="4">
        <f t="shared" ref="H2:H25" si="4">IF(4&gt;=C2,D2,0)</f>
        <v>41666.666666666664</v>
      </c>
      <c r="I2" s="4">
        <f t="shared" ref="I2:I25" si="5">IF(5&gt;=C2,D2,0)</f>
        <v>41666.666666666664</v>
      </c>
      <c r="J2" s="4">
        <f t="shared" ref="J2:J25" si="6">IF(6&gt;=C2,D2,0)</f>
        <v>41666.666666666664</v>
      </c>
      <c r="K2" s="4">
        <f t="shared" ref="K2:K25" si="7">IF(7&gt;=C2,D2,0)</f>
        <v>41666.666666666664</v>
      </c>
      <c r="L2" s="4">
        <f t="shared" ref="L2:L25" si="8">IF(8&gt;=C2,D2,0)</f>
        <v>41666.666666666664</v>
      </c>
      <c r="M2" s="4">
        <f t="shared" ref="M2:M25" si="9">IF(9&gt;=C2,D2,0)</f>
        <v>41666.666666666664</v>
      </c>
      <c r="N2" s="4">
        <f t="shared" ref="N2:N25" si="10">IF(10&gt;=C2,D2,0)</f>
        <v>41666.666666666664</v>
      </c>
      <c r="O2" s="4">
        <f t="shared" ref="O2:O25" si="11">IF(11&gt;=C2,D2,0)</f>
        <v>41666.666666666664</v>
      </c>
      <c r="P2" s="4">
        <f t="shared" ref="P2:P25" si="12">IF(12&gt;=C2,D2,0)</f>
        <v>41666.666666666664</v>
      </c>
      <c r="Q2" s="4">
        <f t="shared" ref="Q2:Q25" si="13">IF(13&gt;=C2,D2,0)</f>
        <v>41666.666666666664</v>
      </c>
      <c r="R2" s="4">
        <f t="shared" ref="R2:R25" si="14">IF(14&gt;=C2,D2,0)</f>
        <v>41666.666666666664</v>
      </c>
      <c r="S2" s="4">
        <f t="shared" ref="S2:S25" si="15">IF(15&gt;=C2,D2,0)</f>
        <v>41666.666666666664</v>
      </c>
      <c r="T2" s="4">
        <f t="shared" ref="T2:T25" si="16">IF(16&gt;=C2,D2,0)</f>
        <v>41666.666666666664</v>
      </c>
      <c r="U2" s="4">
        <f t="shared" ref="U2:U25" si="17">IF(17&gt;=C2,D2,0)</f>
        <v>41666.666666666664</v>
      </c>
      <c r="V2" s="4">
        <f t="shared" ref="V2:V25" si="18">IF(18&gt;=C2,D2,0)</f>
        <v>41666.666666666664</v>
      </c>
      <c r="W2" s="4">
        <f t="shared" ref="W2:W25" si="19">IF(19&gt;=C2,D2,0)</f>
        <v>41666.666666666664</v>
      </c>
      <c r="X2" s="4">
        <f t="shared" ref="X2:X25" si="20">IF(20&gt;=C2,D2,0)</f>
        <v>41666.666666666664</v>
      </c>
      <c r="Y2" s="4">
        <f t="shared" ref="Y2:Y25" si="21">IF(21&gt;=C2,D2,0)</f>
        <v>41666.666666666664</v>
      </c>
      <c r="Z2" s="4">
        <f t="shared" ref="Z2:Z25" si="22">IF(22&gt;=C2,D2,0)</f>
        <v>41666.666666666664</v>
      </c>
      <c r="AA2" s="4">
        <f t="shared" ref="AA2:AA25" si="23">IF(23&gt;=C2,D2,0)</f>
        <v>41666.666666666664</v>
      </c>
      <c r="AB2" s="4">
        <f t="shared" ref="AB2:AB25" si="24">IF(24&gt;=C2,D2,0)</f>
        <v>41666.666666666664</v>
      </c>
      <c r="AC2" s="4">
        <f t="shared" ref="AC2:AC25" si="25">SUM(E2:G2)</f>
        <v>41666.666666666664</v>
      </c>
      <c r="AD2" s="4">
        <f t="shared" ref="AD2:AD25" si="26">SUM(H2:J2)</f>
        <v>125000</v>
      </c>
      <c r="AE2" s="4">
        <f t="shared" ref="AE2:AE25" si="27">SUM(K2:M2)</f>
        <v>125000</v>
      </c>
      <c r="AF2" s="4">
        <f t="shared" ref="AF2:AF25" si="28">SUM(N2:P2)</f>
        <v>125000</v>
      </c>
      <c r="AG2" s="17">
        <f t="shared" ref="AG2:AG25" si="29">SUM(AC2:AF2)</f>
        <v>416666.66666666663</v>
      </c>
      <c r="AH2" s="4">
        <f t="shared" ref="AH2:AH25" si="30">SUM(Q2:S2)</f>
        <v>125000</v>
      </c>
      <c r="AI2" s="4">
        <f t="shared" ref="AI2:AI25" si="31">SUM(T2:V2)</f>
        <v>125000</v>
      </c>
      <c r="AJ2" s="4">
        <f t="shared" ref="AJ2:AJ25" si="32">SUM(W2:Y2)</f>
        <v>125000</v>
      </c>
      <c r="AK2" s="4">
        <f t="shared" ref="AK2:AK25" si="33">SUM(Z2:AB2)</f>
        <v>125000</v>
      </c>
      <c r="AL2" s="17">
        <f t="shared" ref="AL2:AL25" si="34">SUM(AH2:AK2)</f>
        <v>500000</v>
      </c>
      <c r="AM2" s="18">
        <f t="shared" ref="AM2:AM25" si="35">AG2+AL2</f>
        <v>916666.66666666663</v>
      </c>
    </row>
    <row r="3" spans="1:39" x14ac:dyDescent="0.2">
      <c r="A3" t="s">
        <v>148</v>
      </c>
      <c r="B3" s="4">
        <v>250000</v>
      </c>
      <c r="C3">
        <v>3</v>
      </c>
      <c r="D3" s="4">
        <f t="shared" si="0"/>
        <v>20833.333333333332</v>
      </c>
      <c r="E3" s="4">
        <f t="shared" si="1"/>
        <v>0</v>
      </c>
      <c r="F3" s="4">
        <f t="shared" si="2"/>
        <v>0</v>
      </c>
      <c r="G3" s="4">
        <f t="shared" si="3"/>
        <v>20833.333333333332</v>
      </c>
      <c r="H3" s="4">
        <f t="shared" si="4"/>
        <v>20833.333333333332</v>
      </c>
      <c r="I3" s="4">
        <f t="shared" si="5"/>
        <v>20833.333333333332</v>
      </c>
      <c r="J3" s="4">
        <f t="shared" si="6"/>
        <v>20833.333333333332</v>
      </c>
      <c r="K3" s="4">
        <f t="shared" si="7"/>
        <v>20833.333333333332</v>
      </c>
      <c r="L3" s="4">
        <f t="shared" si="8"/>
        <v>20833.333333333332</v>
      </c>
      <c r="M3" s="4">
        <f t="shared" si="9"/>
        <v>20833.333333333332</v>
      </c>
      <c r="N3" s="4">
        <f t="shared" si="10"/>
        <v>20833.333333333332</v>
      </c>
      <c r="O3" s="4">
        <f t="shared" si="11"/>
        <v>20833.333333333332</v>
      </c>
      <c r="P3" s="4">
        <f t="shared" si="12"/>
        <v>20833.333333333332</v>
      </c>
      <c r="Q3" s="4">
        <f t="shared" si="13"/>
        <v>20833.333333333332</v>
      </c>
      <c r="R3" s="4">
        <f t="shared" si="14"/>
        <v>20833.333333333332</v>
      </c>
      <c r="S3" s="4">
        <f t="shared" si="15"/>
        <v>20833.333333333332</v>
      </c>
      <c r="T3" s="4">
        <f t="shared" si="16"/>
        <v>20833.333333333332</v>
      </c>
      <c r="U3" s="4">
        <f t="shared" si="17"/>
        <v>20833.333333333332</v>
      </c>
      <c r="V3" s="4">
        <f t="shared" si="18"/>
        <v>20833.333333333332</v>
      </c>
      <c r="W3" s="4">
        <f t="shared" si="19"/>
        <v>20833.333333333332</v>
      </c>
      <c r="X3" s="4">
        <f t="shared" si="20"/>
        <v>20833.333333333332</v>
      </c>
      <c r="Y3" s="4">
        <f t="shared" si="21"/>
        <v>20833.333333333332</v>
      </c>
      <c r="Z3" s="4">
        <f t="shared" si="22"/>
        <v>20833.333333333332</v>
      </c>
      <c r="AA3" s="4">
        <f t="shared" si="23"/>
        <v>20833.333333333332</v>
      </c>
      <c r="AB3" s="4">
        <f t="shared" si="24"/>
        <v>20833.333333333332</v>
      </c>
      <c r="AC3" s="4">
        <f t="shared" si="25"/>
        <v>20833.333333333332</v>
      </c>
      <c r="AD3" s="4">
        <f t="shared" si="26"/>
        <v>62500</v>
      </c>
      <c r="AE3" s="4">
        <f t="shared" si="27"/>
        <v>62500</v>
      </c>
      <c r="AF3" s="4">
        <f t="shared" si="28"/>
        <v>62500</v>
      </c>
      <c r="AG3" s="17">
        <f t="shared" si="29"/>
        <v>208333.33333333331</v>
      </c>
      <c r="AH3" s="4">
        <f t="shared" si="30"/>
        <v>62500</v>
      </c>
      <c r="AI3" s="4">
        <f t="shared" si="31"/>
        <v>62500</v>
      </c>
      <c r="AJ3" s="4">
        <f t="shared" si="32"/>
        <v>62500</v>
      </c>
      <c r="AK3" s="4">
        <f t="shared" si="33"/>
        <v>62500</v>
      </c>
      <c r="AL3" s="17">
        <f t="shared" si="34"/>
        <v>250000</v>
      </c>
      <c r="AM3" s="18">
        <f t="shared" si="35"/>
        <v>458333.33333333331</v>
      </c>
    </row>
    <row r="4" spans="1:39" x14ac:dyDescent="0.2">
      <c r="A4" t="s">
        <v>154</v>
      </c>
      <c r="B4" s="4">
        <v>185000</v>
      </c>
      <c r="C4">
        <v>1</v>
      </c>
      <c r="D4" s="4">
        <f t="shared" si="0"/>
        <v>15416.666666666666</v>
      </c>
      <c r="E4" s="4">
        <f t="shared" si="1"/>
        <v>15416.666666666666</v>
      </c>
      <c r="F4" s="4">
        <f t="shared" si="2"/>
        <v>15416.666666666666</v>
      </c>
      <c r="G4" s="4">
        <f t="shared" si="3"/>
        <v>15416.666666666666</v>
      </c>
      <c r="H4" s="4">
        <f t="shared" si="4"/>
        <v>15416.666666666666</v>
      </c>
      <c r="I4" s="4">
        <f t="shared" si="5"/>
        <v>15416.666666666666</v>
      </c>
      <c r="J4" s="4">
        <f t="shared" si="6"/>
        <v>15416.666666666666</v>
      </c>
      <c r="K4" s="4">
        <f t="shared" si="7"/>
        <v>15416.666666666666</v>
      </c>
      <c r="L4" s="4">
        <f t="shared" si="8"/>
        <v>15416.666666666666</v>
      </c>
      <c r="M4" s="4">
        <f t="shared" si="9"/>
        <v>15416.666666666666</v>
      </c>
      <c r="N4" s="4">
        <f t="shared" si="10"/>
        <v>15416.666666666666</v>
      </c>
      <c r="O4" s="4">
        <f t="shared" si="11"/>
        <v>15416.666666666666</v>
      </c>
      <c r="P4" s="4">
        <f t="shared" si="12"/>
        <v>15416.666666666666</v>
      </c>
      <c r="Q4" s="4">
        <f t="shared" si="13"/>
        <v>15416.666666666666</v>
      </c>
      <c r="R4" s="4">
        <f t="shared" si="14"/>
        <v>15416.666666666666</v>
      </c>
      <c r="S4" s="4">
        <f t="shared" si="15"/>
        <v>15416.666666666666</v>
      </c>
      <c r="T4" s="4">
        <f t="shared" si="16"/>
        <v>15416.666666666666</v>
      </c>
      <c r="U4" s="4">
        <f t="shared" si="17"/>
        <v>15416.666666666666</v>
      </c>
      <c r="V4" s="4">
        <f t="shared" si="18"/>
        <v>15416.666666666666</v>
      </c>
      <c r="W4" s="4">
        <f t="shared" si="19"/>
        <v>15416.666666666666</v>
      </c>
      <c r="X4" s="4">
        <f t="shared" si="20"/>
        <v>15416.666666666666</v>
      </c>
      <c r="Y4" s="4">
        <f t="shared" si="21"/>
        <v>15416.666666666666</v>
      </c>
      <c r="Z4" s="4">
        <f t="shared" si="22"/>
        <v>15416.666666666666</v>
      </c>
      <c r="AA4" s="4">
        <f t="shared" si="23"/>
        <v>15416.666666666666</v>
      </c>
      <c r="AB4" s="4">
        <f t="shared" si="24"/>
        <v>15416.666666666666</v>
      </c>
      <c r="AC4" s="4">
        <f t="shared" si="25"/>
        <v>46250</v>
      </c>
      <c r="AD4" s="4">
        <f t="shared" si="26"/>
        <v>46250</v>
      </c>
      <c r="AE4" s="4">
        <f t="shared" si="27"/>
        <v>46250</v>
      </c>
      <c r="AF4" s="4">
        <f t="shared" si="28"/>
        <v>46250</v>
      </c>
      <c r="AG4" s="17">
        <f t="shared" si="29"/>
        <v>185000</v>
      </c>
      <c r="AH4" s="4">
        <f t="shared" si="30"/>
        <v>46250</v>
      </c>
      <c r="AI4" s="4">
        <f t="shared" si="31"/>
        <v>46250</v>
      </c>
      <c r="AJ4" s="4">
        <f t="shared" si="32"/>
        <v>46250</v>
      </c>
      <c r="AK4" s="4">
        <f t="shared" si="33"/>
        <v>46250</v>
      </c>
      <c r="AL4" s="17">
        <f t="shared" si="34"/>
        <v>185000</v>
      </c>
      <c r="AM4" s="18">
        <f t="shared" si="35"/>
        <v>370000</v>
      </c>
    </row>
    <row r="5" spans="1:39" x14ac:dyDescent="0.2">
      <c r="A5" t="s">
        <v>145</v>
      </c>
      <c r="B5" s="4">
        <v>200000</v>
      </c>
      <c r="C5">
        <v>3</v>
      </c>
      <c r="D5" s="4">
        <f>B5/12</f>
        <v>16666.666666666668</v>
      </c>
      <c r="E5" s="4">
        <f>IF(1&gt;=C5,D5,0)</f>
        <v>0</v>
      </c>
      <c r="F5" s="4">
        <f>IF(2&gt;=C5,D5,0)</f>
        <v>0</v>
      </c>
      <c r="G5" s="4">
        <f>IF(3&gt;=C5,D5,0)</f>
        <v>16666.666666666668</v>
      </c>
      <c r="H5" s="4">
        <f>IF(4&gt;=C5,D5,0)</f>
        <v>16666.666666666668</v>
      </c>
      <c r="I5" s="4">
        <f>IF(5&gt;=C5,D5,0)</f>
        <v>16666.666666666668</v>
      </c>
      <c r="J5" s="4">
        <f>IF(6&gt;=C5,D5,0)</f>
        <v>16666.666666666668</v>
      </c>
      <c r="K5" s="4">
        <f>IF(7&gt;=C5,D5,0)</f>
        <v>16666.666666666668</v>
      </c>
      <c r="L5" s="4">
        <f>IF(8&gt;=C5,D5,0)</f>
        <v>16666.666666666668</v>
      </c>
      <c r="M5" s="4">
        <f>IF(9&gt;=C5,D5,0)</f>
        <v>16666.666666666668</v>
      </c>
      <c r="N5" s="4">
        <f>IF(10&gt;=C5,D5,0)</f>
        <v>16666.666666666668</v>
      </c>
      <c r="O5" s="4">
        <f>IF(11&gt;=C5,D5,0)</f>
        <v>16666.666666666668</v>
      </c>
      <c r="P5" s="4">
        <f>IF(12&gt;=C5,D5,0)</f>
        <v>16666.666666666668</v>
      </c>
      <c r="Q5" s="4">
        <f>IF(13&gt;=C5,D5,0)</f>
        <v>16666.666666666668</v>
      </c>
      <c r="R5" s="4">
        <f>IF(14&gt;=C5,D5,0)</f>
        <v>16666.666666666668</v>
      </c>
      <c r="S5" s="4">
        <f>IF(15&gt;=C5,D5,0)</f>
        <v>16666.666666666668</v>
      </c>
      <c r="T5" s="4">
        <f>IF(16&gt;=C5,D5,0)</f>
        <v>16666.666666666668</v>
      </c>
      <c r="U5" s="4">
        <f>IF(17&gt;=C5,D5,0)</f>
        <v>16666.666666666668</v>
      </c>
      <c r="V5" s="4">
        <f>IF(18&gt;=C5,D5,0)</f>
        <v>16666.666666666668</v>
      </c>
      <c r="W5" s="4">
        <f>IF(19&gt;=C5,D5,0)</f>
        <v>16666.666666666668</v>
      </c>
      <c r="X5" s="4">
        <f>IF(20&gt;=C5,D5,0)</f>
        <v>16666.666666666668</v>
      </c>
      <c r="Y5" s="4">
        <f>IF(21&gt;=C5,D5,0)</f>
        <v>16666.666666666668</v>
      </c>
      <c r="Z5" s="4">
        <f>IF(22&gt;=C5,D5,0)</f>
        <v>16666.666666666668</v>
      </c>
      <c r="AA5" s="4">
        <f>IF(23&gt;=C5,D5,0)</f>
        <v>16666.666666666668</v>
      </c>
      <c r="AB5" s="4">
        <f>IF(24&gt;=C5,D5,0)</f>
        <v>16666.666666666668</v>
      </c>
      <c r="AC5" s="4">
        <f>SUM(E5:G5)</f>
        <v>16666.666666666668</v>
      </c>
      <c r="AD5" s="4">
        <f>SUM(H5:J5)</f>
        <v>50000</v>
      </c>
      <c r="AE5" s="4">
        <f>SUM(K5:M5)</f>
        <v>50000</v>
      </c>
      <c r="AF5" s="4">
        <f>SUM(N5:P5)</f>
        <v>50000</v>
      </c>
      <c r="AG5" s="17">
        <f>SUM(AC5:AF5)</f>
        <v>166666.66666666669</v>
      </c>
      <c r="AH5" s="4">
        <f>SUM(Q5:S5)</f>
        <v>50000</v>
      </c>
      <c r="AI5" s="4">
        <f>SUM(T5:V5)</f>
        <v>50000</v>
      </c>
      <c r="AJ5" s="4">
        <f>SUM(W5:Y5)</f>
        <v>50000</v>
      </c>
      <c r="AK5" s="4">
        <f>SUM(Z5:AB5)</f>
        <v>50000</v>
      </c>
      <c r="AL5" s="17">
        <f>SUM(AH5:AK5)</f>
        <v>200000</v>
      </c>
      <c r="AM5" s="18">
        <f>AG5+AL5</f>
        <v>366666.66666666669</v>
      </c>
    </row>
    <row r="6" spans="1:39" x14ac:dyDescent="0.2">
      <c r="A6" t="s">
        <v>146</v>
      </c>
      <c r="B6" s="4">
        <v>180000</v>
      </c>
      <c r="C6">
        <v>5</v>
      </c>
      <c r="D6" s="4">
        <f>B6/12</f>
        <v>15000</v>
      </c>
      <c r="E6" s="4">
        <f>IF(1&gt;=C6,D6,0)</f>
        <v>0</v>
      </c>
      <c r="F6" s="4">
        <f>IF(2&gt;=C6,D6,0)</f>
        <v>0</v>
      </c>
      <c r="G6" s="4">
        <f>IF(3&gt;=C6,D6,0)</f>
        <v>0</v>
      </c>
      <c r="H6" s="4">
        <f>IF(4&gt;=C6,D6,0)</f>
        <v>0</v>
      </c>
      <c r="I6" s="4">
        <f>IF(5&gt;=C6,D6,0)</f>
        <v>15000</v>
      </c>
      <c r="J6" s="4">
        <f>IF(6&gt;=C6,D6,0)</f>
        <v>15000</v>
      </c>
      <c r="K6" s="4">
        <f>IF(7&gt;=C6,D6,0)</f>
        <v>15000</v>
      </c>
      <c r="L6" s="4">
        <f>IF(8&gt;=C6,D6,0)</f>
        <v>15000</v>
      </c>
      <c r="M6" s="4">
        <f>IF(9&gt;=C6,D6,0)</f>
        <v>15000</v>
      </c>
      <c r="N6" s="4">
        <f>IF(10&gt;=C6,D6,0)</f>
        <v>15000</v>
      </c>
      <c r="O6" s="4">
        <f>IF(11&gt;=C6,D6,0)</f>
        <v>15000</v>
      </c>
      <c r="P6" s="4">
        <f>IF(12&gt;=C6,D6,0)</f>
        <v>15000</v>
      </c>
      <c r="Q6" s="4">
        <f>IF(13&gt;=C6,D6,0)</f>
        <v>15000</v>
      </c>
      <c r="R6" s="4">
        <f>IF(14&gt;=C6,D6,0)</f>
        <v>15000</v>
      </c>
      <c r="S6" s="4">
        <f>IF(15&gt;=C6,D6,0)</f>
        <v>15000</v>
      </c>
      <c r="T6" s="4">
        <f>IF(16&gt;=C6,D6,0)</f>
        <v>15000</v>
      </c>
      <c r="U6" s="4">
        <f>IF(17&gt;=C6,D6,0)</f>
        <v>15000</v>
      </c>
      <c r="V6" s="4">
        <f>IF(18&gt;=C6,D6,0)</f>
        <v>15000</v>
      </c>
      <c r="W6" s="4">
        <f>IF(19&gt;=C6,D6,0)</f>
        <v>15000</v>
      </c>
      <c r="X6" s="4">
        <f>IF(20&gt;=C6,D6,0)</f>
        <v>15000</v>
      </c>
      <c r="Y6" s="4">
        <f>IF(21&gt;=C6,D6,0)</f>
        <v>15000</v>
      </c>
      <c r="Z6" s="4">
        <f>IF(22&gt;=C6,D6,0)</f>
        <v>15000</v>
      </c>
      <c r="AA6" s="4">
        <f>IF(23&gt;=C6,D6,0)</f>
        <v>15000</v>
      </c>
      <c r="AB6" s="4">
        <f>IF(24&gt;=C6,D6,0)</f>
        <v>15000</v>
      </c>
      <c r="AC6" s="4">
        <f>SUM(E6:G6)</f>
        <v>0</v>
      </c>
      <c r="AD6" s="4">
        <f>SUM(H6:J6)</f>
        <v>30000</v>
      </c>
      <c r="AE6" s="4">
        <f>SUM(K6:M6)</f>
        <v>45000</v>
      </c>
      <c r="AF6" s="4">
        <f>SUM(N6:P6)</f>
        <v>45000</v>
      </c>
      <c r="AG6" s="17">
        <f>SUM(AC6:AF6)</f>
        <v>120000</v>
      </c>
      <c r="AH6" s="4">
        <f>SUM(Q6:S6)</f>
        <v>45000</v>
      </c>
      <c r="AI6" s="4">
        <f>SUM(T6:V6)</f>
        <v>45000</v>
      </c>
      <c r="AJ6" s="4">
        <f>SUM(W6:Y6)</f>
        <v>45000</v>
      </c>
      <c r="AK6" s="4">
        <f>SUM(Z6:AB6)</f>
        <v>45000</v>
      </c>
      <c r="AL6" s="17">
        <f>SUM(AH6:AK6)</f>
        <v>180000</v>
      </c>
      <c r="AM6" s="18">
        <f>AG6+AL6</f>
        <v>300000</v>
      </c>
    </row>
    <row r="7" spans="1:39" x14ac:dyDescent="0.2">
      <c r="A7" t="s">
        <v>149</v>
      </c>
      <c r="B7" s="4">
        <f>15*12000</f>
        <v>180000</v>
      </c>
      <c r="C7">
        <v>1</v>
      </c>
      <c r="D7" s="4">
        <f>B7/12</f>
        <v>15000</v>
      </c>
      <c r="E7" s="4">
        <f>IF(1&gt;=C7,D7,0)</f>
        <v>15000</v>
      </c>
      <c r="F7" s="4">
        <f>IF(2&gt;=C7,D7,0)</f>
        <v>15000</v>
      </c>
      <c r="G7" s="4">
        <f>IF(3&gt;=C7,D7,0)</f>
        <v>15000</v>
      </c>
      <c r="H7" s="4">
        <f>IF(4&gt;=C7,D7,0)</f>
        <v>15000</v>
      </c>
      <c r="I7" s="4">
        <f>IF(5&gt;=C7,D7,0)</f>
        <v>15000</v>
      </c>
      <c r="J7" s="4">
        <f>IF(6&gt;=C7,D7,0)</f>
        <v>15000</v>
      </c>
      <c r="K7" s="4">
        <f>IF(7&gt;=C7,D7,0)</f>
        <v>15000</v>
      </c>
      <c r="L7" s="4">
        <f>IF(8&gt;=C7,D7,0)</f>
        <v>15000</v>
      </c>
      <c r="M7" s="4">
        <f>IF(9&gt;=C7,D7,0)</f>
        <v>15000</v>
      </c>
      <c r="N7" s="4">
        <f>IF(10&gt;=C7,D7,0)</f>
        <v>15000</v>
      </c>
      <c r="O7" s="4">
        <f>IF(11&gt;=C7,D7,0)</f>
        <v>15000</v>
      </c>
      <c r="P7" s="4">
        <f>IF(12&gt;=C7,D7,0)</f>
        <v>15000</v>
      </c>
      <c r="Q7" s="4">
        <f>IF(13&gt;=C7,D7,0)</f>
        <v>15000</v>
      </c>
      <c r="R7" s="4">
        <f>IF(14&gt;=C7,D7,0)</f>
        <v>15000</v>
      </c>
      <c r="S7" s="4">
        <f>IF(15&gt;=C7,D7,0)</f>
        <v>15000</v>
      </c>
      <c r="T7" s="4">
        <f>IF(16&gt;=C7,D7,0)</f>
        <v>15000</v>
      </c>
      <c r="U7" s="4">
        <f>IF(17&gt;=C7,D7,0)</f>
        <v>15000</v>
      </c>
      <c r="V7" s="4">
        <f>IF(18&gt;=C7,D7,0)</f>
        <v>15000</v>
      </c>
      <c r="W7" s="4">
        <f>IF(19&gt;=C7,D7,0)</f>
        <v>15000</v>
      </c>
      <c r="X7" s="4">
        <f>IF(20&gt;=C7,D7,0)</f>
        <v>15000</v>
      </c>
      <c r="Y7" s="4">
        <f>IF(21&gt;=C7,D7,0)</f>
        <v>15000</v>
      </c>
      <c r="Z7" s="4">
        <f>IF(22&gt;=C7,D7,0)</f>
        <v>15000</v>
      </c>
      <c r="AA7" s="4">
        <f>IF(23&gt;=C7,D7,0)</f>
        <v>15000</v>
      </c>
      <c r="AB7" s="4">
        <f>IF(24&gt;=C7,D7,0)</f>
        <v>15000</v>
      </c>
      <c r="AC7" s="4">
        <f>SUM(E7:G7)</f>
        <v>45000</v>
      </c>
      <c r="AD7" s="4">
        <f>SUM(H7:J7)</f>
        <v>45000</v>
      </c>
      <c r="AE7" s="4">
        <f>SUM(K7:M7)</f>
        <v>45000</v>
      </c>
      <c r="AF7" s="4">
        <f>SUM(N7:P7)</f>
        <v>45000</v>
      </c>
      <c r="AG7" s="17">
        <f>SUM(AC7:AF7)</f>
        <v>180000</v>
      </c>
      <c r="AH7" s="4">
        <f>SUM(Q7:S7)</f>
        <v>45000</v>
      </c>
      <c r="AI7" s="4">
        <f>SUM(T7:V7)</f>
        <v>45000</v>
      </c>
      <c r="AJ7" s="4">
        <f>SUM(W7:Y7)</f>
        <v>45000</v>
      </c>
      <c r="AK7" s="4">
        <f>SUM(Z7:AB7)</f>
        <v>45000</v>
      </c>
      <c r="AL7" s="17">
        <f>SUM(AH7:AK7)</f>
        <v>180000</v>
      </c>
      <c r="AM7" s="18">
        <f>AG7+AL7</f>
        <v>360000</v>
      </c>
    </row>
    <row r="8" spans="1:39" x14ac:dyDescent="0.2">
      <c r="A8" t="s">
        <v>143</v>
      </c>
      <c r="B8" s="4">
        <v>150000</v>
      </c>
      <c r="C8">
        <v>3</v>
      </c>
      <c r="D8" s="4">
        <f t="shared" si="0"/>
        <v>12500</v>
      </c>
      <c r="E8" s="4">
        <f t="shared" si="1"/>
        <v>0</v>
      </c>
      <c r="F8" s="4">
        <f t="shared" si="2"/>
        <v>0</v>
      </c>
      <c r="G8" s="4">
        <f t="shared" si="3"/>
        <v>12500</v>
      </c>
      <c r="H8" s="4">
        <f t="shared" si="4"/>
        <v>12500</v>
      </c>
      <c r="I8" s="4">
        <f t="shared" si="5"/>
        <v>12500</v>
      </c>
      <c r="J8" s="4">
        <f t="shared" si="6"/>
        <v>12500</v>
      </c>
      <c r="K8" s="4">
        <f t="shared" si="7"/>
        <v>12500</v>
      </c>
      <c r="L8" s="4">
        <f t="shared" si="8"/>
        <v>12500</v>
      </c>
      <c r="M8" s="4">
        <f t="shared" si="9"/>
        <v>12500</v>
      </c>
      <c r="N8" s="4">
        <f t="shared" si="10"/>
        <v>12500</v>
      </c>
      <c r="O8" s="4">
        <f t="shared" si="11"/>
        <v>12500</v>
      </c>
      <c r="P8" s="4">
        <f t="shared" si="12"/>
        <v>12500</v>
      </c>
      <c r="Q8" s="4">
        <f t="shared" si="13"/>
        <v>12500</v>
      </c>
      <c r="R8" s="4">
        <f t="shared" si="14"/>
        <v>12500</v>
      </c>
      <c r="S8" s="4">
        <f t="shared" si="15"/>
        <v>12500</v>
      </c>
      <c r="T8" s="4">
        <f t="shared" si="16"/>
        <v>12500</v>
      </c>
      <c r="U8" s="4">
        <f t="shared" si="17"/>
        <v>12500</v>
      </c>
      <c r="V8" s="4">
        <f t="shared" si="18"/>
        <v>12500</v>
      </c>
      <c r="W8" s="4">
        <f t="shared" si="19"/>
        <v>12500</v>
      </c>
      <c r="X8" s="4">
        <f t="shared" si="20"/>
        <v>12500</v>
      </c>
      <c r="Y8" s="4">
        <f t="shared" si="21"/>
        <v>12500</v>
      </c>
      <c r="Z8" s="4">
        <f t="shared" si="22"/>
        <v>12500</v>
      </c>
      <c r="AA8" s="4">
        <f t="shared" si="23"/>
        <v>12500</v>
      </c>
      <c r="AB8" s="4">
        <f t="shared" si="24"/>
        <v>12500</v>
      </c>
      <c r="AC8" s="4">
        <f t="shared" si="25"/>
        <v>12500</v>
      </c>
      <c r="AD8" s="4">
        <f t="shared" si="26"/>
        <v>37500</v>
      </c>
      <c r="AE8" s="4">
        <f t="shared" si="27"/>
        <v>37500</v>
      </c>
      <c r="AF8" s="4">
        <f t="shared" si="28"/>
        <v>37500</v>
      </c>
      <c r="AG8" s="17">
        <f t="shared" si="29"/>
        <v>125000</v>
      </c>
      <c r="AH8" s="4">
        <f t="shared" si="30"/>
        <v>37500</v>
      </c>
      <c r="AI8" s="4">
        <f t="shared" si="31"/>
        <v>37500</v>
      </c>
      <c r="AJ8" s="4">
        <f t="shared" si="32"/>
        <v>37500</v>
      </c>
      <c r="AK8" s="4">
        <f t="shared" si="33"/>
        <v>37500</v>
      </c>
      <c r="AL8" s="17">
        <f t="shared" si="34"/>
        <v>150000</v>
      </c>
      <c r="AM8" s="18">
        <f t="shared" si="35"/>
        <v>275000</v>
      </c>
    </row>
    <row r="9" spans="1:39" x14ac:dyDescent="0.2">
      <c r="A9" t="s">
        <v>150</v>
      </c>
      <c r="B9" s="4">
        <v>150000</v>
      </c>
      <c r="C9">
        <v>2</v>
      </c>
      <c r="D9" s="4">
        <f t="shared" si="0"/>
        <v>12500</v>
      </c>
      <c r="E9" s="4">
        <f t="shared" si="1"/>
        <v>0</v>
      </c>
      <c r="F9" s="4">
        <f t="shared" si="2"/>
        <v>12500</v>
      </c>
      <c r="G9" s="4">
        <f t="shared" si="3"/>
        <v>12500</v>
      </c>
      <c r="H9" s="4">
        <f t="shared" si="4"/>
        <v>12500</v>
      </c>
      <c r="I9" s="4">
        <f t="shared" si="5"/>
        <v>12500</v>
      </c>
      <c r="J9" s="4">
        <f t="shared" si="6"/>
        <v>12500</v>
      </c>
      <c r="K9" s="4">
        <f t="shared" si="7"/>
        <v>12500</v>
      </c>
      <c r="L9" s="4">
        <f t="shared" si="8"/>
        <v>12500</v>
      </c>
      <c r="M9" s="4">
        <f t="shared" si="9"/>
        <v>12500</v>
      </c>
      <c r="N9" s="4">
        <f t="shared" si="10"/>
        <v>12500</v>
      </c>
      <c r="O9" s="4">
        <f t="shared" si="11"/>
        <v>12500</v>
      </c>
      <c r="P9" s="4">
        <f t="shared" si="12"/>
        <v>12500</v>
      </c>
      <c r="Q9" s="4">
        <f t="shared" si="13"/>
        <v>12500</v>
      </c>
      <c r="R9" s="4">
        <f t="shared" si="14"/>
        <v>12500</v>
      </c>
      <c r="S9" s="4">
        <f t="shared" si="15"/>
        <v>12500</v>
      </c>
      <c r="T9" s="4">
        <f t="shared" si="16"/>
        <v>12500</v>
      </c>
      <c r="U9" s="4">
        <f t="shared" si="17"/>
        <v>12500</v>
      </c>
      <c r="V9" s="4">
        <f t="shared" si="18"/>
        <v>12500</v>
      </c>
      <c r="W9" s="4">
        <f t="shared" si="19"/>
        <v>12500</v>
      </c>
      <c r="X9" s="4">
        <f t="shared" si="20"/>
        <v>12500</v>
      </c>
      <c r="Y9" s="4">
        <f t="shared" si="21"/>
        <v>12500</v>
      </c>
      <c r="Z9" s="4">
        <f t="shared" si="22"/>
        <v>12500</v>
      </c>
      <c r="AA9" s="4">
        <f t="shared" si="23"/>
        <v>12500</v>
      </c>
      <c r="AB9" s="4">
        <f t="shared" si="24"/>
        <v>12500</v>
      </c>
      <c r="AC9" s="4">
        <f t="shared" si="25"/>
        <v>25000</v>
      </c>
      <c r="AD9" s="4">
        <f t="shared" si="26"/>
        <v>37500</v>
      </c>
      <c r="AE9" s="4">
        <f t="shared" si="27"/>
        <v>37500</v>
      </c>
      <c r="AF9" s="4">
        <f t="shared" si="28"/>
        <v>37500</v>
      </c>
      <c r="AG9" s="17">
        <f t="shared" si="29"/>
        <v>137500</v>
      </c>
      <c r="AH9" s="4">
        <f t="shared" si="30"/>
        <v>37500</v>
      </c>
      <c r="AI9" s="4">
        <f t="shared" si="31"/>
        <v>37500</v>
      </c>
      <c r="AJ9" s="4">
        <f t="shared" si="32"/>
        <v>37500</v>
      </c>
      <c r="AK9" s="4">
        <f t="shared" si="33"/>
        <v>37500</v>
      </c>
      <c r="AL9" s="17">
        <f t="shared" si="34"/>
        <v>150000</v>
      </c>
      <c r="AM9" s="18">
        <f t="shared" si="35"/>
        <v>287500</v>
      </c>
    </row>
    <row r="10" spans="1:39" s="38" customFormat="1" x14ac:dyDescent="0.2">
      <c r="A10" s="38" t="s">
        <v>151</v>
      </c>
      <c r="B10" s="39">
        <v>180000</v>
      </c>
      <c r="C10" s="38">
        <v>3</v>
      </c>
      <c r="D10" s="39">
        <f t="shared" si="0"/>
        <v>15000</v>
      </c>
      <c r="E10" s="39">
        <f t="shared" si="1"/>
        <v>0</v>
      </c>
      <c r="F10" s="39">
        <f t="shared" si="2"/>
        <v>0</v>
      </c>
      <c r="G10" s="39">
        <f t="shared" si="3"/>
        <v>15000</v>
      </c>
      <c r="H10" s="39">
        <f t="shared" si="4"/>
        <v>15000</v>
      </c>
      <c r="I10" s="39">
        <f t="shared" si="5"/>
        <v>15000</v>
      </c>
      <c r="J10" s="39">
        <f t="shared" si="6"/>
        <v>15000</v>
      </c>
      <c r="K10" s="39">
        <f t="shared" si="7"/>
        <v>15000</v>
      </c>
      <c r="L10" s="39">
        <f t="shared" si="8"/>
        <v>15000</v>
      </c>
      <c r="M10" s="39">
        <f t="shared" si="9"/>
        <v>15000</v>
      </c>
      <c r="N10" s="39">
        <f t="shared" si="10"/>
        <v>15000</v>
      </c>
      <c r="O10" s="39">
        <f t="shared" si="11"/>
        <v>15000</v>
      </c>
      <c r="P10" s="39">
        <f t="shared" si="12"/>
        <v>15000</v>
      </c>
      <c r="Q10" s="39">
        <f t="shared" si="13"/>
        <v>15000</v>
      </c>
      <c r="R10" s="39">
        <f t="shared" si="14"/>
        <v>15000</v>
      </c>
      <c r="S10" s="39">
        <f t="shared" si="15"/>
        <v>15000</v>
      </c>
      <c r="T10" s="39">
        <f t="shared" si="16"/>
        <v>15000</v>
      </c>
      <c r="U10" s="39">
        <f t="shared" si="17"/>
        <v>15000</v>
      </c>
      <c r="V10" s="39">
        <f t="shared" si="18"/>
        <v>15000</v>
      </c>
      <c r="W10" s="39">
        <f t="shared" si="19"/>
        <v>15000</v>
      </c>
      <c r="X10" s="39">
        <f t="shared" si="20"/>
        <v>15000</v>
      </c>
      <c r="Y10" s="39">
        <f t="shared" si="21"/>
        <v>15000</v>
      </c>
      <c r="Z10" s="39">
        <f t="shared" si="22"/>
        <v>15000</v>
      </c>
      <c r="AA10" s="39">
        <f t="shared" si="23"/>
        <v>15000</v>
      </c>
      <c r="AB10" s="39">
        <f t="shared" si="24"/>
        <v>15000</v>
      </c>
      <c r="AC10" s="39">
        <f t="shared" si="25"/>
        <v>15000</v>
      </c>
      <c r="AD10" s="39">
        <f t="shared" si="26"/>
        <v>45000</v>
      </c>
      <c r="AE10" s="39">
        <f t="shared" si="27"/>
        <v>45000</v>
      </c>
      <c r="AF10" s="39">
        <f t="shared" si="28"/>
        <v>45000</v>
      </c>
      <c r="AG10" s="40">
        <f t="shared" si="29"/>
        <v>150000</v>
      </c>
      <c r="AH10" s="39">
        <f t="shared" si="30"/>
        <v>45000</v>
      </c>
      <c r="AI10" s="39">
        <f t="shared" si="31"/>
        <v>45000</v>
      </c>
      <c r="AJ10" s="39">
        <f t="shared" si="32"/>
        <v>45000</v>
      </c>
      <c r="AK10" s="39">
        <f t="shared" si="33"/>
        <v>45000</v>
      </c>
      <c r="AL10" s="40">
        <f t="shared" si="34"/>
        <v>180000</v>
      </c>
      <c r="AM10" s="41">
        <f t="shared" si="35"/>
        <v>330000</v>
      </c>
    </row>
    <row r="11" spans="1:39" x14ac:dyDescent="0.2">
      <c r="A11" t="s">
        <v>66</v>
      </c>
      <c r="B11" s="4">
        <v>140000</v>
      </c>
      <c r="C11">
        <v>25</v>
      </c>
      <c r="D11" s="4">
        <f t="shared" si="0"/>
        <v>11666.666666666666</v>
      </c>
      <c r="E11" s="4">
        <f t="shared" si="1"/>
        <v>0</v>
      </c>
      <c r="F11" s="4">
        <f t="shared" si="2"/>
        <v>0</v>
      </c>
      <c r="G11" s="4">
        <f t="shared" si="3"/>
        <v>0</v>
      </c>
      <c r="H11" s="4">
        <f t="shared" si="4"/>
        <v>0</v>
      </c>
      <c r="I11" s="4">
        <f t="shared" si="5"/>
        <v>0</v>
      </c>
      <c r="J11" s="4">
        <f t="shared" si="6"/>
        <v>0</v>
      </c>
      <c r="K11" s="4">
        <f t="shared" si="7"/>
        <v>0</v>
      </c>
      <c r="L11" s="4">
        <f t="shared" si="8"/>
        <v>0</v>
      </c>
      <c r="M11" s="4">
        <f t="shared" si="9"/>
        <v>0</v>
      </c>
      <c r="N11" s="4">
        <f t="shared" si="10"/>
        <v>0</v>
      </c>
      <c r="O11" s="4">
        <f t="shared" si="11"/>
        <v>0</v>
      </c>
      <c r="P11" s="4">
        <f t="shared" si="12"/>
        <v>0</v>
      </c>
      <c r="Q11" s="4">
        <f t="shared" si="13"/>
        <v>0</v>
      </c>
      <c r="R11" s="4">
        <f t="shared" si="14"/>
        <v>0</v>
      </c>
      <c r="S11" s="4">
        <f t="shared" si="15"/>
        <v>0</v>
      </c>
      <c r="T11" s="4">
        <f t="shared" si="16"/>
        <v>0</v>
      </c>
      <c r="U11" s="4">
        <f t="shared" si="17"/>
        <v>0</v>
      </c>
      <c r="V11" s="4">
        <f t="shared" si="18"/>
        <v>0</v>
      </c>
      <c r="W11" s="4">
        <f t="shared" si="19"/>
        <v>0</v>
      </c>
      <c r="X11" s="4">
        <f t="shared" si="20"/>
        <v>0</v>
      </c>
      <c r="Y11" s="4">
        <f t="shared" si="21"/>
        <v>0</v>
      </c>
      <c r="Z11" s="4">
        <f t="shared" si="22"/>
        <v>0</v>
      </c>
      <c r="AA11" s="4">
        <f t="shared" si="23"/>
        <v>0</v>
      </c>
      <c r="AB11" s="4">
        <f t="shared" si="24"/>
        <v>0</v>
      </c>
      <c r="AC11" s="4">
        <f t="shared" si="25"/>
        <v>0</v>
      </c>
      <c r="AD11" s="4">
        <f t="shared" si="26"/>
        <v>0</v>
      </c>
      <c r="AE11" s="4">
        <f t="shared" si="27"/>
        <v>0</v>
      </c>
      <c r="AF11" s="4">
        <f t="shared" si="28"/>
        <v>0</v>
      </c>
      <c r="AG11" s="17">
        <f t="shared" si="29"/>
        <v>0</v>
      </c>
      <c r="AH11" s="4">
        <f t="shared" si="30"/>
        <v>0</v>
      </c>
      <c r="AI11" s="4">
        <f t="shared" si="31"/>
        <v>0</v>
      </c>
      <c r="AJ11" s="4">
        <f t="shared" si="32"/>
        <v>0</v>
      </c>
      <c r="AK11" s="4">
        <f t="shared" si="33"/>
        <v>0</v>
      </c>
      <c r="AL11" s="17">
        <f t="shared" si="34"/>
        <v>0</v>
      </c>
      <c r="AM11" s="18">
        <f t="shared" si="35"/>
        <v>0</v>
      </c>
    </row>
    <row r="12" spans="1:39" x14ac:dyDescent="0.2">
      <c r="A12" t="s">
        <v>144</v>
      </c>
      <c r="B12" s="4">
        <v>150000</v>
      </c>
      <c r="C12">
        <v>7</v>
      </c>
      <c r="D12" s="4">
        <f>B12/12</f>
        <v>12500</v>
      </c>
      <c r="E12" s="4">
        <f>IF(1&gt;=C12,D12,0)</f>
        <v>0</v>
      </c>
      <c r="F12" s="4">
        <f>IF(2&gt;=C12,D12,0)</f>
        <v>0</v>
      </c>
      <c r="G12" s="4">
        <f>IF(3&gt;=C12,D12,0)</f>
        <v>0</v>
      </c>
      <c r="H12" s="4">
        <f>IF(4&gt;=C12,D12,0)</f>
        <v>0</v>
      </c>
      <c r="I12" s="4">
        <f>IF(5&gt;=C12,D12,0)</f>
        <v>0</v>
      </c>
      <c r="J12" s="4">
        <f>IF(6&gt;=C12,D12,0)</f>
        <v>0</v>
      </c>
      <c r="K12" s="4">
        <f>IF(7&gt;=C12,D12,0)</f>
        <v>12500</v>
      </c>
      <c r="L12" s="4">
        <f>IF(8&gt;=C12,D12,0)</f>
        <v>12500</v>
      </c>
      <c r="M12" s="4">
        <f>IF(9&gt;=C12,D12,0)</f>
        <v>12500</v>
      </c>
      <c r="N12" s="4">
        <f>IF(10&gt;=C12,D12,0)</f>
        <v>12500</v>
      </c>
      <c r="O12" s="4">
        <f>IF(11&gt;=C12,D12,0)</f>
        <v>12500</v>
      </c>
      <c r="P12" s="4">
        <f>IF(12&gt;=C12,D12,0)</f>
        <v>12500</v>
      </c>
      <c r="Q12" s="4">
        <f>IF(13&gt;=C12,D12,0)</f>
        <v>12500</v>
      </c>
      <c r="R12" s="4">
        <f>IF(14&gt;=C12,D12,0)</f>
        <v>12500</v>
      </c>
      <c r="S12" s="4">
        <f>IF(15&gt;=C12,D12,0)</f>
        <v>12500</v>
      </c>
      <c r="T12" s="4">
        <f>IF(16&gt;=C12,D12,0)</f>
        <v>12500</v>
      </c>
      <c r="U12" s="4">
        <f>IF(17&gt;=C12,D12,0)</f>
        <v>12500</v>
      </c>
      <c r="V12" s="4">
        <f>IF(18&gt;=C12,D12,0)</f>
        <v>12500</v>
      </c>
      <c r="W12" s="4">
        <f>IF(19&gt;=C12,D12,0)</f>
        <v>12500</v>
      </c>
      <c r="X12" s="4">
        <f>IF(20&gt;=C12,D12,0)</f>
        <v>12500</v>
      </c>
      <c r="Y12" s="4">
        <f>IF(21&gt;=C12,D12,0)</f>
        <v>12500</v>
      </c>
      <c r="Z12" s="4">
        <f>IF(22&gt;=C12,D12,0)</f>
        <v>12500</v>
      </c>
      <c r="AA12" s="4">
        <f>IF(23&gt;=C12,D12,0)</f>
        <v>12500</v>
      </c>
      <c r="AB12" s="4">
        <f>IF(24&gt;=C12,D12,0)</f>
        <v>12500</v>
      </c>
      <c r="AC12" s="4">
        <f>SUM(E12:G12)</f>
        <v>0</v>
      </c>
      <c r="AD12" s="4">
        <f>SUM(H12:J12)</f>
        <v>0</v>
      </c>
      <c r="AE12" s="4">
        <f>SUM(K12:M12)</f>
        <v>37500</v>
      </c>
      <c r="AF12" s="4">
        <f>SUM(N12:P12)</f>
        <v>37500</v>
      </c>
      <c r="AG12" s="17">
        <f>SUM(AC12:AF12)</f>
        <v>75000</v>
      </c>
      <c r="AH12" s="4">
        <f>SUM(Q12:S12)</f>
        <v>37500</v>
      </c>
      <c r="AI12" s="4">
        <f>SUM(T12:V12)</f>
        <v>37500</v>
      </c>
      <c r="AJ12" s="4">
        <f>SUM(W12:Y12)</f>
        <v>37500</v>
      </c>
      <c r="AK12" s="4">
        <f>SUM(Z12:AB12)</f>
        <v>37500</v>
      </c>
      <c r="AL12" s="17">
        <f>SUM(AH12:AK12)</f>
        <v>150000</v>
      </c>
      <c r="AM12" s="18">
        <f>AG12+AL12</f>
        <v>225000</v>
      </c>
    </row>
    <row r="13" spans="1:39" x14ac:dyDescent="0.2">
      <c r="A13" t="s">
        <v>147</v>
      </c>
      <c r="B13" s="4">
        <v>180000</v>
      </c>
      <c r="C13">
        <v>25</v>
      </c>
      <c r="D13" s="4">
        <f>B13/12</f>
        <v>15000</v>
      </c>
      <c r="E13" s="4">
        <f>IF(1&gt;=C13,D13,0)</f>
        <v>0</v>
      </c>
      <c r="F13" s="4">
        <f>IF(2&gt;=C13,D13,0)</f>
        <v>0</v>
      </c>
      <c r="G13" s="4">
        <f>IF(3&gt;=C13,D13,0)</f>
        <v>0</v>
      </c>
      <c r="H13" s="4">
        <f>IF(4&gt;=C13,D13,0)</f>
        <v>0</v>
      </c>
      <c r="I13" s="4">
        <f>IF(5&gt;=C13,D13,0)</f>
        <v>0</v>
      </c>
      <c r="J13" s="4">
        <f>IF(6&gt;=C13,D13,0)</f>
        <v>0</v>
      </c>
      <c r="K13" s="4">
        <f>IF(7&gt;=C13,D13,0)</f>
        <v>0</v>
      </c>
      <c r="L13" s="4">
        <f>IF(8&gt;=C13,D13,0)</f>
        <v>0</v>
      </c>
      <c r="M13" s="4">
        <f>IF(9&gt;=C13,D13,0)</f>
        <v>0</v>
      </c>
      <c r="N13" s="4">
        <f>IF(10&gt;=C13,D13,0)</f>
        <v>0</v>
      </c>
      <c r="O13" s="4">
        <f>IF(11&gt;=C13,D13,0)</f>
        <v>0</v>
      </c>
      <c r="P13" s="4">
        <f>IF(12&gt;=C13,D13,0)</f>
        <v>0</v>
      </c>
      <c r="Q13" s="4">
        <f>IF(13&gt;=C13,D13,0)</f>
        <v>0</v>
      </c>
      <c r="R13" s="4">
        <f>IF(14&gt;=C13,D13,0)</f>
        <v>0</v>
      </c>
      <c r="S13" s="4">
        <f>IF(15&gt;=C13,D13,0)</f>
        <v>0</v>
      </c>
      <c r="T13" s="4">
        <f>IF(16&gt;=C13,D13,0)</f>
        <v>0</v>
      </c>
      <c r="U13" s="4">
        <f>IF(17&gt;=C13,D13,0)</f>
        <v>0</v>
      </c>
      <c r="V13" s="4">
        <f>IF(18&gt;=C13,D13,0)</f>
        <v>0</v>
      </c>
      <c r="W13" s="4">
        <f>IF(19&gt;=C13,D13,0)</f>
        <v>0</v>
      </c>
      <c r="X13" s="4">
        <f>IF(20&gt;=C13,D13,0)</f>
        <v>0</v>
      </c>
      <c r="Y13" s="4">
        <f>IF(21&gt;=C13,D13,0)</f>
        <v>0</v>
      </c>
      <c r="Z13" s="4">
        <f>IF(22&gt;=C13,D13,0)</f>
        <v>0</v>
      </c>
      <c r="AA13" s="4">
        <f>IF(23&gt;=C13,D13,0)</f>
        <v>0</v>
      </c>
      <c r="AB13" s="4">
        <f>IF(24&gt;=C13,D13,0)</f>
        <v>0</v>
      </c>
      <c r="AC13" s="4">
        <f>SUM(E13:G13)</f>
        <v>0</v>
      </c>
      <c r="AD13" s="4">
        <f>SUM(H13:J13)</f>
        <v>0</v>
      </c>
      <c r="AE13" s="4">
        <f>SUM(K13:M13)</f>
        <v>0</v>
      </c>
      <c r="AF13" s="4">
        <f>SUM(N13:P13)</f>
        <v>0</v>
      </c>
      <c r="AG13" s="17">
        <f>SUM(AC13:AF13)</f>
        <v>0</v>
      </c>
      <c r="AH13" s="4">
        <f>SUM(Q13:S13)</f>
        <v>0</v>
      </c>
      <c r="AI13" s="4">
        <f>SUM(T13:V13)</f>
        <v>0</v>
      </c>
      <c r="AJ13" s="4">
        <f>SUM(W13:Y13)</f>
        <v>0</v>
      </c>
      <c r="AK13" s="4">
        <f>SUM(Z13:AB13)</f>
        <v>0</v>
      </c>
      <c r="AL13" s="17">
        <f>SUM(AH13:AK13)</f>
        <v>0</v>
      </c>
      <c r="AM13" s="18">
        <f>AG13+AL13</f>
        <v>0</v>
      </c>
    </row>
    <row r="14" spans="1:39" x14ac:dyDescent="0.2">
      <c r="A14" t="s">
        <v>67</v>
      </c>
      <c r="B14" s="4">
        <v>120000</v>
      </c>
      <c r="C14">
        <v>25</v>
      </c>
      <c r="D14" s="4">
        <f t="shared" si="0"/>
        <v>10000</v>
      </c>
      <c r="E14" s="4">
        <f t="shared" si="1"/>
        <v>0</v>
      </c>
      <c r="F14" s="4">
        <f t="shared" si="2"/>
        <v>0</v>
      </c>
      <c r="G14" s="4">
        <f t="shared" si="3"/>
        <v>0</v>
      </c>
      <c r="H14" s="4">
        <f t="shared" si="4"/>
        <v>0</v>
      </c>
      <c r="I14" s="4">
        <f t="shared" si="5"/>
        <v>0</v>
      </c>
      <c r="J14" s="4">
        <f t="shared" si="6"/>
        <v>0</v>
      </c>
      <c r="K14" s="4">
        <f t="shared" si="7"/>
        <v>0</v>
      </c>
      <c r="L14" s="4">
        <f t="shared" si="8"/>
        <v>0</v>
      </c>
      <c r="M14" s="4">
        <f t="shared" si="9"/>
        <v>0</v>
      </c>
      <c r="N14" s="4">
        <f t="shared" si="10"/>
        <v>0</v>
      </c>
      <c r="O14" s="4">
        <f t="shared" si="11"/>
        <v>0</v>
      </c>
      <c r="P14" s="4">
        <f t="shared" si="12"/>
        <v>0</v>
      </c>
      <c r="Q14" s="4">
        <f t="shared" si="13"/>
        <v>0</v>
      </c>
      <c r="R14" s="4">
        <f t="shared" si="14"/>
        <v>0</v>
      </c>
      <c r="S14" s="4">
        <f t="shared" si="15"/>
        <v>0</v>
      </c>
      <c r="T14" s="4">
        <f t="shared" si="16"/>
        <v>0</v>
      </c>
      <c r="U14" s="4">
        <f t="shared" si="17"/>
        <v>0</v>
      </c>
      <c r="V14" s="4">
        <f t="shared" si="18"/>
        <v>0</v>
      </c>
      <c r="W14" s="4">
        <f t="shared" si="19"/>
        <v>0</v>
      </c>
      <c r="X14" s="4">
        <f t="shared" si="20"/>
        <v>0</v>
      </c>
      <c r="Y14" s="4">
        <f t="shared" si="21"/>
        <v>0</v>
      </c>
      <c r="Z14" s="4">
        <f t="shared" si="22"/>
        <v>0</v>
      </c>
      <c r="AA14" s="4">
        <f t="shared" si="23"/>
        <v>0</v>
      </c>
      <c r="AB14" s="4">
        <f t="shared" si="24"/>
        <v>0</v>
      </c>
      <c r="AC14" s="4">
        <f t="shared" si="25"/>
        <v>0</v>
      </c>
      <c r="AD14" s="4">
        <f t="shared" si="26"/>
        <v>0</v>
      </c>
      <c r="AE14" s="4">
        <f t="shared" si="27"/>
        <v>0</v>
      </c>
      <c r="AF14" s="4">
        <f t="shared" si="28"/>
        <v>0</v>
      </c>
      <c r="AG14" s="17">
        <f t="shared" si="29"/>
        <v>0</v>
      </c>
      <c r="AH14" s="4">
        <f t="shared" si="30"/>
        <v>0</v>
      </c>
      <c r="AI14" s="4">
        <f t="shared" si="31"/>
        <v>0</v>
      </c>
      <c r="AJ14" s="4">
        <f t="shared" si="32"/>
        <v>0</v>
      </c>
      <c r="AK14" s="4">
        <f t="shared" si="33"/>
        <v>0</v>
      </c>
      <c r="AL14" s="17">
        <f t="shared" si="34"/>
        <v>0</v>
      </c>
      <c r="AM14" s="18">
        <f t="shared" si="35"/>
        <v>0</v>
      </c>
    </row>
    <row r="15" spans="1:39" x14ac:dyDescent="0.2">
      <c r="A15" t="s">
        <v>68</v>
      </c>
      <c r="B15" s="4">
        <v>160000</v>
      </c>
      <c r="C15">
        <v>25</v>
      </c>
      <c r="D15" s="4">
        <f t="shared" si="0"/>
        <v>13333.333333333334</v>
      </c>
      <c r="E15" s="4">
        <f t="shared" si="1"/>
        <v>0</v>
      </c>
      <c r="F15" s="4">
        <f t="shared" si="2"/>
        <v>0</v>
      </c>
      <c r="G15" s="4">
        <f t="shared" si="3"/>
        <v>0</v>
      </c>
      <c r="H15" s="4">
        <f t="shared" si="4"/>
        <v>0</v>
      </c>
      <c r="I15" s="4">
        <f t="shared" si="5"/>
        <v>0</v>
      </c>
      <c r="J15" s="4">
        <f t="shared" si="6"/>
        <v>0</v>
      </c>
      <c r="K15" s="4">
        <f t="shared" si="7"/>
        <v>0</v>
      </c>
      <c r="L15" s="4">
        <f t="shared" si="8"/>
        <v>0</v>
      </c>
      <c r="M15" s="4">
        <f t="shared" si="9"/>
        <v>0</v>
      </c>
      <c r="N15" s="4">
        <f t="shared" si="10"/>
        <v>0</v>
      </c>
      <c r="O15" s="4">
        <f t="shared" si="11"/>
        <v>0</v>
      </c>
      <c r="P15" s="4">
        <f t="shared" si="12"/>
        <v>0</v>
      </c>
      <c r="Q15" s="4">
        <f t="shared" si="13"/>
        <v>0</v>
      </c>
      <c r="R15" s="4">
        <f t="shared" si="14"/>
        <v>0</v>
      </c>
      <c r="S15" s="4">
        <f t="shared" si="15"/>
        <v>0</v>
      </c>
      <c r="T15" s="4">
        <f t="shared" si="16"/>
        <v>0</v>
      </c>
      <c r="U15" s="4">
        <f t="shared" si="17"/>
        <v>0</v>
      </c>
      <c r="V15" s="4">
        <f t="shared" si="18"/>
        <v>0</v>
      </c>
      <c r="W15" s="4">
        <f t="shared" si="19"/>
        <v>0</v>
      </c>
      <c r="X15" s="4">
        <f t="shared" si="20"/>
        <v>0</v>
      </c>
      <c r="Y15" s="4">
        <f t="shared" si="21"/>
        <v>0</v>
      </c>
      <c r="Z15" s="4">
        <f t="shared" si="22"/>
        <v>0</v>
      </c>
      <c r="AA15" s="4">
        <f t="shared" si="23"/>
        <v>0</v>
      </c>
      <c r="AB15" s="4">
        <f t="shared" si="24"/>
        <v>0</v>
      </c>
      <c r="AC15" s="4">
        <f t="shared" si="25"/>
        <v>0</v>
      </c>
      <c r="AD15" s="4">
        <f t="shared" si="26"/>
        <v>0</v>
      </c>
      <c r="AE15" s="4">
        <f t="shared" si="27"/>
        <v>0</v>
      </c>
      <c r="AF15" s="4">
        <f t="shared" si="28"/>
        <v>0</v>
      </c>
      <c r="AG15" s="17">
        <f t="shared" si="29"/>
        <v>0</v>
      </c>
      <c r="AH15" s="4">
        <f t="shared" si="30"/>
        <v>0</v>
      </c>
      <c r="AI15" s="4">
        <f t="shared" si="31"/>
        <v>0</v>
      </c>
      <c r="AJ15" s="4">
        <f t="shared" si="32"/>
        <v>0</v>
      </c>
      <c r="AK15" s="4">
        <f t="shared" si="33"/>
        <v>0</v>
      </c>
      <c r="AL15" s="17">
        <f t="shared" si="34"/>
        <v>0</v>
      </c>
      <c r="AM15" s="18">
        <f t="shared" si="35"/>
        <v>0</v>
      </c>
    </row>
    <row r="16" spans="1:39" x14ac:dyDescent="0.2">
      <c r="A16" t="s">
        <v>69</v>
      </c>
      <c r="B16" s="4">
        <v>150000</v>
      </c>
      <c r="C16">
        <v>25</v>
      </c>
      <c r="D16" s="4">
        <f t="shared" si="0"/>
        <v>12500</v>
      </c>
      <c r="E16" s="4">
        <f t="shared" si="1"/>
        <v>0</v>
      </c>
      <c r="F16" s="4">
        <f t="shared" si="2"/>
        <v>0</v>
      </c>
      <c r="G16" s="4">
        <f t="shared" si="3"/>
        <v>0</v>
      </c>
      <c r="H16" s="4">
        <f t="shared" si="4"/>
        <v>0</v>
      </c>
      <c r="I16" s="4">
        <f t="shared" si="5"/>
        <v>0</v>
      </c>
      <c r="J16" s="4">
        <f t="shared" si="6"/>
        <v>0</v>
      </c>
      <c r="K16" s="4">
        <f t="shared" si="7"/>
        <v>0</v>
      </c>
      <c r="L16" s="4">
        <f t="shared" si="8"/>
        <v>0</v>
      </c>
      <c r="M16" s="4">
        <f t="shared" si="9"/>
        <v>0</v>
      </c>
      <c r="N16" s="4">
        <f t="shared" si="10"/>
        <v>0</v>
      </c>
      <c r="O16" s="4">
        <f t="shared" si="11"/>
        <v>0</v>
      </c>
      <c r="P16" s="4">
        <f t="shared" si="12"/>
        <v>0</v>
      </c>
      <c r="Q16" s="4">
        <f t="shared" si="13"/>
        <v>0</v>
      </c>
      <c r="R16" s="4">
        <f t="shared" si="14"/>
        <v>0</v>
      </c>
      <c r="S16" s="4">
        <f t="shared" si="15"/>
        <v>0</v>
      </c>
      <c r="T16" s="4">
        <f t="shared" si="16"/>
        <v>0</v>
      </c>
      <c r="U16" s="4">
        <f t="shared" si="17"/>
        <v>0</v>
      </c>
      <c r="V16" s="4">
        <f t="shared" si="18"/>
        <v>0</v>
      </c>
      <c r="W16" s="4">
        <f t="shared" si="19"/>
        <v>0</v>
      </c>
      <c r="X16" s="4">
        <f t="shared" si="20"/>
        <v>0</v>
      </c>
      <c r="Y16" s="4">
        <f t="shared" si="21"/>
        <v>0</v>
      </c>
      <c r="Z16" s="4">
        <f t="shared" si="22"/>
        <v>0</v>
      </c>
      <c r="AA16" s="4">
        <f t="shared" si="23"/>
        <v>0</v>
      </c>
      <c r="AB16" s="4">
        <f t="shared" si="24"/>
        <v>0</v>
      </c>
      <c r="AC16" s="4">
        <f t="shared" si="25"/>
        <v>0</v>
      </c>
      <c r="AD16" s="4">
        <f t="shared" si="26"/>
        <v>0</v>
      </c>
      <c r="AE16" s="4">
        <f t="shared" si="27"/>
        <v>0</v>
      </c>
      <c r="AF16" s="4">
        <f t="shared" si="28"/>
        <v>0</v>
      </c>
      <c r="AG16" s="17">
        <f t="shared" si="29"/>
        <v>0</v>
      </c>
      <c r="AH16" s="4">
        <f t="shared" si="30"/>
        <v>0</v>
      </c>
      <c r="AI16" s="4">
        <f t="shared" si="31"/>
        <v>0</v>
      </c>
      <c r="AJ16" s="4">
        <f t="shared" si="32"/>
        <v>0</v>
      </c>
      <c r="AK16" s="4">
        <f t="shared" si="33"/>
        <v>0</v>
      </c>
      <c r="AL16" s="17">
        <f t="shared" si="34"/>
        <v>0</v>
      </c>
      <c r="AM16" s="18">
        <f t="shared" si="35"/>
        <v>0</v>
      </c>
    </row>
    <row r="17" spans="1:39" x14ac:dyDescent="0.2">
      <c r="A17" t="s">
        <v>70</v>
      </c>
      <c r="B17" s="4">
        <v>130000</v>
      </c>
      <c r="C17">
        <v>25</v>
      </c>
      <c r="D17" s="4">
        <f t="shared" si="0"/>
        <v>10833.333333333334</v>
      </c>
      <c r="E17" s="4">
        <f t="shared" si="1"/>
        <v>0</v>
      </c>
      <c r="F17" s="4">
        <f t="shared" si="2"/>
        <v>0</v>
      </c>
      <c r="G17" s="4">
        <f t="shared" si="3"/>
        <v>0</v>
      </c>
      <c r="H17" s="4">
        <f t="shared" si="4"/>
        <v>0</v>
      </c>
      <c r="I17" s="4">
        <f t="shared" si="5"/>
        <v>0</v>
      </c>
      <c r="J17" s="4">
        <f t="shared" si="6"/>
        <v>0</v>
      </c>
      <c r="K17" s="4">
        <f t="shared" si="7"/>
        <v>0</v>
      </c>
      <c r="L17" s="4">
        <f t="shared" si="8"/>
        <v>0</v>
      </c>
      <c r="M17" s="4">
        <f t="shared" si="9"/>
        <v>0</v>
      </c>
      <c r="N17" s="4">
        <f t="shared" si="10"/>
        <v>0</v>
      </c>
      <c r="O17" s="4">
        <f t="shared" si="11"/>
        <v>0</v>
      </c>
      <c r="P17" s="4">
        <f t="shared" si="12"/>
        <v>0</v>
      </c>
      <c r="Q17" s="4">
        <f t="shared" si="13"/>
        <v>0</v>
      </c>
      <c r="R17" s="4">
        <f t="shared" si="14"/>
        <v>0</v>
      </c>
      <c r="S17" s="4">
        <f t="shared" si="15"/>
        <v>0</v>
      </c>
      <c r="T17" s="4">
        <f t="shared" si="16"/>
        <v>0</v>
      </c>
      <c r="U17" s="4">
        <f t="shared" si="17"/>
        <v>0</v>
      </c>
      <c r="V17" s="4">
        <f t="shared" si="18"/>
        <v>0</v>
      </c>
      <c r="W17" s="4">
        <f t="shared" si="19"/>
        <v>0</v>
      </c>
      <c r="X17" s="4">
        <f t="shared" si="20"/>
        <v>0</v>
      </c>
      <c r="Y17" s="4">
        <f t="shared" si="21"/>
        <v>0</v>
      </c>
      <c r="Z17" s="4">
        <f t="shared" si="22"/>
        <v>0</v>
      </c>
      <c r="AA17" s="4">
        <f t="shared" si="23"/>
        <v>0</v>
      </c>
      <c r="AB17" s="4">
        <f t="shared" si="24"/>
        <v>0</v>
      </c>
      <c r="AC17" s="4">
        <f t="shared" si="25"/>
        <v>0</v>
      </c>
      <c r="AD17" s="4">
        <f t="shared" si="26"/>
        <v>0</v>
      </c>
      <c r="AE17" s="4">
        <f t="shared" si="27"/>
        <v>0</v>
      </c>
      <c r="AF17" s="4">
        <f t="shared" si="28"/>
        <v>0</v>
      </c>
      <c r="AG17" s="17">
        <f t="shared" si="29"/>
        <v>0</v>
      </c>
      <c r="AH17" s="4">
        <f t="shared" si="30"/>
        <v>0</v>
      </c>
      <c r="AI17" s="4">
        <f t="shared" si="31"/>
        <v>0</v>
      </c>
      <c r="AJ17" s="4">
        <f t="shared" si="32"/>
        <v>0</v>
      </c>
      <c r="AK17" s="4">
        <f t="shared" si="33"/>
        <v>0</v>
      </c>
      <c r="AL17" s="17">
        <f t="shared" si="34"/>
        <v>0</v>
      </c>
      <c r="AM17" s="18">
        <f t="shared" si="35"/>
        <v>0</v>
      </c>
    </row>
    <row r="18" spans="1:39" x14ac:dyDescent="0.2">
      <c r="A18" t="s">
        <v>71</v>
      </c>
      <c r="B18" s="4">
        <v>140000</v>
      </c>
      <c r="C18">
        <v>25</v>
      </c>
      <c r="D18" s="4">
        <f t="shared" si="0"/>
        <v>11666.666666666666</v>
      </c>
      <c r="E18" s="4">
        <f t="shared" si="1"/>
        <v>0</v>
      </c>
      <c r="F18" s="4">
        <f t="shared" si="2"/>
        <v>0</v>
      </c>
      <c r="G18" s="4">
        <f t="shared" si="3"/>
        <v>0</v>
      </c>
      <c r="H18" s="4">
        <f t="shared" si="4"/>
        <v>0</v>
      </c>
      <c r="I18" s="4">
        <f t="shared" si="5"/>
        <v>0</v>
      </c>
      <c r="J18" s="4">
        <f t="shared" si="6"/>
        <v>0</v>
      </c>
      <c r="K18" s="4">
        <f t="shared" si="7"/>
        <v>0</v>
      </c>
      <c r="L18" s="4">
        <f t="shared" si="8"/>
        <v>0</v>
      </c>
      <c r="M18" s="4">
        <f t="shared" si="9"/>
        <v>0</v>
      </c>
      <c r="N18" s="4">
        <f t="shared" si="10"/>
        <v>0</v>
      </c>
      <c r="O18" s="4">
        <f t="shared" si="11"/>
        <v>0</v>
      </c>
      <c r="P18" s="4">
        <f t="shared" si="12"/>
        <v>0</v>
      </c>
      <c r="Q18" s="4">
        <f t="shared" si="13"/>
        <v>0</v>
      </c>
      <c r="R18" s="4">
        <f t="shared" si="14"/>
        <v>0</v>
      </c>
      <c r="S18" s="4">
        <f t="shared" si="15"/>
        <v>0</v>
      </c>
      <c r="T18" s="4">
        <f t="shared" si="16"/>
        <v>0</v>
      </c>
      <c r="U18" s="4">
        <f t="shared" si="17"/>
        <v>0</v>
      </c>
      <c r="V18" s="4">
        <f t="shared" si="18"/>
        <v>0</v>
      </c>
      <c r="W18" s="4">
        <f t="shared" si="19"/>
        <v>0</v>
      </c>
      <c r="X18" s="4">
        <f t="shared" si="20"/>
        <v>0</v>
      </c>
      <c r="Y18" s="4">
        <f t="shared" si="21"/>
        <v>0</v>
      </c>
      <c r="Z18" s="4">
        <f t="shared" si="22"/>
        <v>0</v>
      </c>
      <c r="AA18" s="4">
        <f t="shared" si="23"/>
        <v>0</v>
      </c>
      <c r="AB18" s="4">
        <f t="shared" si="24"/>
        <v>0</v>
      </c>
      <c r="AC18" s="4">
        <f t="shared" si="25"/>
        <v>0</v>
      </c>
      <c r="AD18" s="4">
        <f t="shared" si="26"/>
        <v>0</v>
      </c>
      <c r="AE18" s="4">
        <f t="shared" si="27"/>
        <v>0</v>
      </c>
      <c r="AF18" s="4">
        <f t="shared" si="28"/>
        <v>0</v>
      </c>
      <c r="AG18" s="17">
        <f t="shared" si="29"/>
        <v>0</v>
      </c>
      <c r="AH18" s="4">
        <f t="shared" si="30"/>
        <v>0</v>
      </c>
      <c r="AI18" s="4">
        <f t="shared" si="31"/>
        <v>0</v>
      </c>
      <c r="AJ18" s="4">
        <f t="shared" si="32"/>
        <v>0</v>
      </c>
      <c r="AK18" s="4">
        <f t="shared" si="33"/>
        <v>0</v>
      </c>
      <c r="AL18" s="17">
        <f t="shared" si="34"/>
        <v>0</v>
      </c>
      <c r="AM18" s="18">
        <f t="shared" si="35"/>
        <v>0</v>
      </c>
    </row>
    <row r="19" spans="1:39" x14ac:dyDescent="0.2">
      <c r="A19" t="s">
        <v>72</v>
      </c>
      <c r="B19" s="4">
        <v>170000</v>
      </c>
      <c r="C19">
        <v>25</v>
      </c>
      <c r="D19" s="4">
        <f t="shared" si="0"/>
        <v>14166.666666666666</v>
      </c>
      <c r="E19" s="4">
        <f t="shared" si="1"/>
        <v>0</v>
      </c>
      <c r="F19" s="4">
        <f t="shared" si="2"/>
        <v>0</v>
      </c>
      <c r="G19" s="4">
        <f t="shared" si="3"/>
        <v>0</v>
      </c>
      <c r="H19" s="4">
        <f t="shared" si="4"/>
        <v>0</v>
      </c>
      <c r="I19" s="4">
        <f t="shared" si="5"/>
        <v>0</v>
      </c>
      <c r="J19" s="4">
        <f t="shared" si="6"/>
        <v>0</v>
      </c>
      <c r="K19" s="4">
        <f t="shared" si="7"/>
        <v>0</v>
      </c>
      <c r="L19" s="4">
        <f t="shared" si="8"/>
        <v>0</v>
      </c>
      <c r="M19" s="4">
        <f t="shared" si="9"/>
        <v>0</v>
      </c>
      <c r="N19" s="4">
        <f t="shared" si="10"/>
        <v>0</v>
      </c>
      <c r="O19" s="4">
        <f t="shared" si="11"/>
        <v>0</v>
      </c>
      <c r="P19" s="4">
        <f t="shared" si="12"/>
        <v>0</v>
      </c>
      <c r="Q19" s="4">
        <f t="shared" si="13"/>
        <v>0</v>
      </c>
      <c r="R19" s="4">
        <f t="shared" si="14"/>
        <v>0</v>
      </c>
      <c r="S19" s="4">
        <f t="shared" si="15"/>
        <v>0</v>
      </c>
      <c r="T19" s="4">
        <f t="shared" si="16"/>
        <v>0</v>
      </c>
      <c r="U19" s="4">
        <f t="shared" si="17"/>
        <v>0</v>
      </c>
      <c r="V19" s="4">
        <f t="shared" si="18"/>
        <v>0</v>
      </c>
      <c r="W19" s="4">
        <f t="shared" si="19"/>
        <v>0</v>
      </c>
      <c r="X19" s="4">
        <f t="shared" si="20"/>
        <v>0</v>
      </c>
      <c r="Y19" s="4">
        <f t="shared" si="21"/>
        <v>0</v>
      </c>
      <c r="Z19" s="4">
        <f t="shared" si="22"/>
        <v>0</v>
      </c>
      <c r="AA19" s="4">
        <f t="shared" si="23"/>
        <v>0</v>
      </c>
      <c r="AB19" s="4">
        <f t="shared" si="24"/>
        <v>0</v>
      </c>
      <c r="AC19" s="4">
        <f t="shared" si="25"/>
        <v>0</v>
      </c>
      <c r="AD19" s="4">
        <f t="shared" si="26"/>
        <v>0</v>
      </c>
      <c r="AE19" s="4">
        <f t="shared" si="27"/>
        <v>0</v>
      </c>
      <c r="AF19" s="4">
        <f t="shared" si="28"/>
        <v>0</v>
      </c>
      <c r="AG19" s="17">
        <f t="shared" si="29"/>
        <v>0</v>
      </c>
      <c r="AH19" s="4">
        <f t="shared" si="30"/>
        <v>0</v>
      </c>
      <c r="AI19" s="4">
        <f t="shared" si="31"/>
        <v>0</v>
      </c>
      <c r="AJ19" s="4">
        <f t="shared" si="32"/>
        <v>0</v>
      </c>
      <c r="AK19" s="4">
        <f t="shared" si="33"/>
        <v>0</v>
      </c>
      <c r="AL19" s="17">
        <f t="shared" si="34"/>
        <v>0</v>
      </c>
      <c r="AM19" s="18">
        <f t="shared" si="35"/>
        <v>0</v>
      </c>
    </row>
    <row r="20" spans="1:39" x14ac:dyDescent="0.2">
      <c r="A20" t="s">
        <v>73</v>
      </c>
      <c r="B20" s="4">
        <v>120000</v>
      </c>
      <c r="C20">
        <v>25</v>
      </c>
      <c r="D20" s="4">
        <f t="shared" si="0"/>
        <v>10000</v>
      </c>
      <c r="E20" s="4">
        <f t="shared" si="1"/>
        <v>0</v>
      </c>
      <c r="F20" s="4">
        <f t="shared" si="2"/>
        <v>0</v>
      </c>
      <c r="G20" s="4">
        <f t="shared" si="3"/>
        <v>0</v>
      </c>
      <c r="H20" s="4">
        <f t="shared" si="4"/>
        <v>0</v>
      </c>
      <c r="I20" s="4">
        <f t="shared" si="5"/>
        <v>0</v>
      </c>
      <c r="J20" s="4">
        <f t="shared" si="6"/>
        <v>0</v>
      </c>
      <c r="K20" s="4">
        <f t="shared" si="7"/>
        <v>0</v>
      </c>
      <c r="L20" s="4">
        <f t="shared" si="8"/>
        <v>0</v>
      </c>
      <c r="M20" s="4">
        <f t="shared" si="9"/>
        <v>0</v>
      </c>
      <c r="N20" s="4">
        <f t="shared" si="10"/>
        <v>0</v>
      </c>
      <c r="O20" s="4">
        <f t="shared" si="11"/>
        <v>0</v>
      </c>
      <c r="P20" s="4">
        <f t="shared" si="12"/>
        <v>0</v>
      </c>
      <c r="Q20" s="4">
        <f t="shared" si="13"/>
        <v>0</v>
      </c>
      <c r="R20" s="4">
        <f t="shared" si="14"/>
        <v>0</v>
      </c>
      <c r="S20" s="4">
        <f t="shared" si="15"/>
        <v>0</v>
      </c>
      <c r="T20" s="4">
        <f t="shared" si="16"/>
        <v>0</v>
      </c>
      <c r="U20" s="4">
        <f t="shared" si="17"/>
        <v>0</v>
      </c>
      <c r="V20" s="4">
        <f t="shared" si="18"/>
        <v>0</v>
      </c>
      <c r="W20" s="4">
        <f t="shared" si="19"/>
        <v>0</v>
      </c>
      <c r="X20" s="4">
        <f t="shared" si="20"/>
        <v>0</v>
      </c>
      <c r="Y20" s="4">
        <f t="shared" si="21"/>
        <v>0</v>
      </c>
      <c r="Z20" s="4">
        <f t="shared" si="22"/>
        <v>0</v>
      </c>
      <c r="AA20" s="4">
        <f t="shared" si="23"/>
        <v>0</v>
      </c>
      <c r="AB20" s="4">
        <f t="shared" si="24"/>
        <v>0</v>
      </c>
      <c r="AC20" s="4">
        <f t="shared" si="25"/>
        <v>0</v>
      </c>
      <c r="AD20" s="4">
        <f t="shared" si="26"/>
        <v>0</v>
      </c>
      <c r="AE20" s="4">
        <f t="shared" si="27"/>
        <v>0</v>
      </c>
      <c r="AF20" s="4">
        <f t="shared" si="28"/>
        <v>0</v>
      </c>
      <c r="AG20" s="17">
        <f t="shared" si="29"/>
        <v>0</v>
      </c>
      <c r="AH20" s="4">
        <f t="shared" si="30"/>
        <v>0</v>
      </c>
      <c r="AI20" s="4">
        <f t="shared" si="31"/>
        <v>0</v>
      </c>
      <c r="AJ20" s="4">
        <f t="shared" si="32"/>
        <v>0</v>
      </c>
      <c r="AK20" s="4">
        <f t="shared" si="33"/>
        <v>0</v>
      </c>
      <c r="AL20" s="17">
        <f t="shared" si="34"/>
        <v>0</v>
      </c>
      <c r="AM20" s="18">
        <f t="shared" si="35"/>
        <v>0</v>
      </c>
    </row>
    <row r="21" spans="1:39" x14ac:dyDescent="0.2">
      <c r="A21" t="s">
        <v>74</v>
      </c>
      <c r="B21" s="4">
        <v>100000</v>
      </c>
      <c r="C21">
        <v>25</v>
      </c>
      <c r="D21" s="4">
        <f t="shared" si="0"/>
        <v>8333.3333333333339</v>
      </c>
      <c r="E21" s="4">
        <f t="shared" si="1"/>
        <v>0</v>
      </c>
      <c r="F21" s="4">
        <f t="shared" si="2"/>
        <v>0</v>
      </c>
      <c r="G21" s="4">
        <f t="shared" si="3"/>
        <v>0</v>
      </c>
      <c r="H21" s="4">
        <f t="shared" si="4"/>
        <v>0</v>
      </c>
      <c r="I21" s="4">
        <f t="shared" si="5"/>
        <v>0</v>
      </c>
      <c r="J21" s="4">
        <f t="shared" si="6"/>
        <v>0</v>
      </c>
      <c r="K21" s="4">
        <f t="shared" si="7"/>
        <v>0</v>
      </c>
      <c r="L21" s="4">
        <f t="shared" si="8"/>
        <v>0</v>
      </c>
      <c r="M21" s="4">
        <f t="shared" si="9"/>
        <v>0</v>
      </c>
      <c r="N21" s="4">
        <f t="shared" si="10"/>
        <v>0</v>
      </c>
      <c r="O21" s="4">
        <f t="shared" si="11"/>
        <v>0</v>
      </c>
      <c r="P21" s="4">
        <f t="shared" si="12"/>
        <v>0</v>
      </c>
      <c r="Q21" s="4">
        <f t="shared" si="13"/>
        <v>0</v>
      </c>
      <c r="R21" s="4">
        <f t="shared" si="14"/>
        <v>0</v>
      </c>
      <c r="S21" s="4">
        <f t="shared" si="15"/>
        <v>0</v>
      </c>
      <c r="T21" s="4">
        <f t="shared" si="16"/>
        <v>0</v>
      </c>
      <c r="U21" s="4">
        <f t="shared" si="17"/>
        <v>0</v>
      </c>
      <c r="V21" s="4">
        <f t="shared" si="18"/>
        <v>0</v>
      </c>
      <c r="W21" s="4">
        <f t="shared" si="19"/>
        <v>0</v>
      </c>
      <c r="X21" s="4">
        <f t="shared" si="20"/>
        <v>0</v>
      </c>
      <c r="Y21" s="4">
        <f t="shared" si="21"/>
        <v>0</v>
      </c>
      <c r="Z21" s="4">
        <f t="shared" si="22"/>
        <v>0</v>
      </c>
      <c r="AA21" s="4">
        <f t="shared" si="23"/>
        <v>0</v>
      </c>
      <c r="AB21" s="4">
        <f t="shared" si="24"/>
        <v>0</v>
      </c>
      <c r="AC21" s="4">
        <f t="shared" si="25"/>
        <v>0</v>
      </c>
      <c r="AD21" s="4">
        <f t="shared" si="26"/>
        <v>0</v>
      </c>
      <c r="AE21" s="4">
        <f t="shared" si="27"/>
        <v>0</v>
      </c>
      <c r="AF21" s="4">
        <f t="shared" si="28"/>
        <v>0</v>
      </c>
      <c r="AG21" s="17">
        <f t="shared" si="29"/>
        <v>0</v>
      </c>
      <c r="AH21" s="4">
        <f t="shared" si="30"/>
        <v>0</v>
      </c>
      <c r="AI21" s="4">
        <f t="shared" si="31"/>
        <v>0</v>
      </c>
      <c r="AJ21" s="4">
        <f t="shared" si="32"/>
        <v>0</v>
      </c>
      <c r="AK21" s="4">
        <f t="shared" si="33"/>
        <v>0</v>
      </c>
      <c r="AL21" s="17">
        <f t="shared" si="34"/>
        <v>0</v>
      </c>
      <c r="AM21" s="18">
        <f t="shared" si="35"/>
        <v>0</v>
      </c>
    </row>
    <row r="22" spans="1:39" x14ac:dyDescent="0.2">
      <c r="A22" t="s">
        <v>75</v>
      </c>
      <c r="B22" s="4">
        <v>72000</v>
      </c>
      <c r="C22">
        <v>25</v>
      </c>
      <c r="D22" s="4">
        <f t="shared" si="0"/>
        <v>6000</v>
      </c>
      <c r="E22" s="4">
        <f t="shared" si="1"/>
        <v>0</v>
      </c>
      <c r="F22" s="4">
        <f t="shared" si="2"/>
        <v>0</v>
      </c>
      <c r="G22" s="4">
        <f t="shared" si="3"/>
        <v>0</v>
      </c>
      <c r="H22" s="4">
        <f t="shared" si="4"/>
        <v>0</v>
      </c>
      <c r="I22" s="4">
        <f t="shared" si="5"/>
        <v>0</v>
      </c>
      <c r="J22" s="4">
        <f t="shared" si="6"/>
        <v>0</v>
      </c>
      <c r="K22" s="4">
        <f t="shared" si="7"/>
        <v>0</v>
      </c>
      <c r="L22" s="4">
        <f t="shared" si="8"/>
        <v>0</v>
      </c>
      <c r="M22" s="4">
        <f t="shared" si="9"/>
        <v>0</v>
      </c>
      <c r="N22" s="4">
        <f t="shared" si="10"/>
        <v>0</v>
      </c>
      <c r="O22" s="4">
        <f t="shared" si="11"/>
        <v>0</v>
      </c>
      <c r="P22" s="4">
        <f t="shared" si="12"/>
        <v>0</v>
      </c>
      <c r="Q22" s="4">
        <f t="shared" si="13"/>
        <v>0</v>
      </c>
      <c r="R22" s="4">
        <f t="shared" si="14"/>
        <v>0</v>
      </c>
      <c r="S22" s="4">
        <f t="shared" si="15"/>
        <v>0</v>
      </c>
      <c r="T22" s="4">
        <f t="shared" si="16"/>
        <v>0</v>
      </c>
      <c r="U22" s="4">
        <f t="shared" si="17"/>
        <v>0</v>
      </c>
      <c r="V22" s="4">
        <f t="shared" si="18"/>
        <v>0</v>
      </c>
      <c r="W22" s="4">
        <f t="shared" si="19"/>
        <v>0</v>
      </c>
      <c r="X22" s="4">
        <f t="shared" si="20"/>
        <v>0</v>
      </c>
      <c r="Y22" s="4">
        <f t="shared" si="21"/>
        <v>0</v>
      </c>
      <c r="Z22" s="4">
        <f t="shared" si="22"/>
        <v>0</v>
      </c>
      <c r="AA22" s="4">
        <f t="shared" si="23"/>
        <v>0</v>
      </c>
      <c r="AB22" s="4">
        <f t="shared" si="24"/>
        <v>0</v>
      </c>
      <c r="AC22" s="4">
        <f t="shared" si="25"/>
        <v>0</v>
      </c>
      <c r="AD22" s="4">
        <f t="shared" si="26"/>
        <v>0</v>
      </c>
      <c r="AE22" s="4">
        <f t="shared" si="27"/>
        <v>0</v>
      </c>
      <c r="AF22" s="4">
        <f t="shared" si="28"/>
        <v>0</v>
      </c>
      <c r="AG22" s="17">
        <f t="shared" si="29"/>
        <v>0</v>
      </c>
      <c r="AH22" s="4">
        <f t="shared" si="30"/>
        <v>0</v>
      </c>
      <c r="AI22" s="4">
        <f t="shared" si="31"/>
        <v>0</v>
      </c>
      <c r="AJ22" s="4">
        <f t="shared" si="32"/>
        <v>0</v>
      </c>
      <c r="AK22" s="4">
        <f t="shared" si="33"/>
        <v>0</v>
      </c>
      <c r="AL22" s="17">
        <f t="shared" si="34"/>
        <v>0</v>
      </c>
      <c r="AM22" s="18">
        <f t="shared" si="35"/>
        <v>0</v>
      </c>
    </row>
    <row r="23" spans="1:39" x14ac:dyDescent="0.2">
      <c r="A23" t="s">
        <v>76</v>
      </c>
      <c r="B23" s="4">
        <v>60000</v>
      </c>
      <c r="C23">
        <v>25</v>
      </c>
      <c r="D23" s="4">
        <f t="shared" si="0"/>
        <v>5000</v>
      </c>
      <c r="E23" s="4">
        <f t="shared" si="1"/>
        <v>0</v>
      </c>
      <c r="F23" s="4">
        <f t="shared" si="2"/>
        <v>0</v>
      </c>
      <c r="G23" s="4">
        <f t="shared" si="3"/>
        <v>0</v>
      </c>
      <c r="H23" s="4">
        <f t="shared" si="4"/>
        <v>0</v>
      </c>
      <c r="I23" s="4">
        <f t="shared" si="5"/>
        <v>0</v>
      </c>
      <c r="J23" s="4">
        <f t="shared" si="6"/>
        <v>0</v>
      </c>
      <c r="K23" s="4">
        <f t="shared" si="7"/>
        <v>0</v>
      </c>
      <c r="L23" s="4">
        <f t="shared" si="8"/>
        <v>0</v>
      </c>
      <c r="M23" s="4">
        <f t="shared" si="9"/>
        <v>0</v>
      </c>
      <c r="N23" s="4">
        <f t="shared" si="10"/>
        <v>0</v>
      </c>
      <c r="O23" s="4">
        <f t="shared" si="11"/>
        <v>0</v>
      </c>
      <c r="P23" s="4">
        <f t="shared" si="12"/>
        <v>0</v>
      </c>
      <c r="Q23" s="4">
        <f t="shared" si="13"/>
        <v>0</v>
      </c>
      <c r="R23" s="4">
        <f t="shared" si="14"/>
        <v>0</v>
      </c>
      <c r="S23" s="4">
        <f t="shared" si="15"/>
        <v>0</v>
      </c>
      <c r="T23" s="4">
        <f t="shared" si="16"/>
        <v>0</v>
      </c>
      <c r="U23" s="4">
        <f t="shared" si="17"/>
        <v>0</v>
      </c>
      <c r="V23" s="4">
        <f t="shared" si="18"/>
        <v>0</v>
      </c>
      <c r="W23" s="4">
        <f t="shared" si="19"/>
        <v>0</v>
      </c>
      <c r="X23" s="4">
        <f t="shared" si="20"/>
        <v>0</v>
      </c>
      <c r="Y23" s="4">
        <f t="shared" si="21"/>
        <v>0</v>
      </c>
      <c r="Z23" s="4">
        <f t="shared" si="22"/>
        <v>0</v>
      </c>
      <c r="AA23" s="4">
        <f t="shared" si="23"/>
        <v>0</v>
      </c>
      <c r="AB23" s="4">
        <f t="shared" si="24"/>
        <v>0</v>
      </c>
      <c r="AC23" s="4">
        <f t="shared" si="25"/>
        <v>0</v>
      </c>
      <c r="AD23" s="4">
        <f t="shared" si="26"/>
        <v>0</v>
      </c>
      <c r="AE23" s="4">
        <f t="shared" si="27"/>
        <v>0</v>
      </c>
      <c r="AF23" s="4">
        <f t="shared" si="28"/>
        <v>0</v>
      </c>
      <c r="AG23" s="17">
        <f t="shared" si="29"/>
        <v>0</v>
      </c>
      <c r="AH23" s="4">
        <f t="shared" si="30"/>
        <v>0</v>
      </c>
      <c r="AI23" s="4">
        <f t="shared" si="31"/>
        <v>0</v>
      </c>
      <c r="AJ23" s="4">
        <f t="shared" si="32"/>
        <v>0</v>
      </c>
      <c r="AK23" s="4">
        <f t="shared" si="33"/>
        <v>0</v>
      </c>
      <c r="AL23" s="17">
        <f t="shared" si="34"/>
        <v>0</v>
      </c>
      <c r="AM23" s="18">
        <f t="shared" si="35"/>
        <v>0</v>
      </c>
    </row>
    <row r="24" spans="1:39" x14ac:dyDescent="0.2">
      <c r="A24" t="s">
        <v>77</v>
      </c>
      <c r="B24" s="4">
        <v>45000</v>
      </c>
      <c r="C24">
        <v>25</v>
      </c>
      <c r="D24" s="4">
        <f t="shared" si="0"/>
        <v>3750</v>
      </c>
      <c r="E24" s="4">
        <f t="shared" si="1"/>
        <v>0</v>
      </c>
      <c r="F24" s="4">
        <f t="shared" si="2"/>
        <v>0</v>
      </c>
      <c r="G24" s="4">
        <f t="shared" si="3"/>
        <v>0</v>
      </c>
      <c r="H24" s="4">
        <f t="shared" si="4"/>
        <v>0</v>
      </c>
      <c r="I24" s="4">
        <f t="shared" si="5"/>
        <v>0</v>
      </c>
      <c r="J24" s="4">
        <f t="shared" si="6"/>
        <v>0</v>
      </c>
      <c r="K24" s="4">
        <f t="shared" si="7"/>
        <v>0</v>
      </c>
      <c r="L24" s="4">
        <f t="shared" si="8"/>
        <v>0</v>
      </c>
      <c r="M24" s="4">
        <f t="shared" si="9"/>
        <v>0</v>
      </c>
      <c r="N24" s="4">
        <f t="shared" si="10"/>
        <v>0</v>
      </c>
      <c r="O24" s="4">
        <f t="shared" si="11"/>
        <v>0</v>
      </c>
      <c r="P24" s="4">
        <f t="shared" si="12"/>
        <v>0</v>
      </c>
      <c r="Q24" s="4">
        <f t="shared" si="13"/>
        <v>0</v>
      </c>
      <c r="R24" s="4">
        <f t="shared" si="14"/>
        <v>0</v>
      </c>
      <c r="S24" s="4">
        <f t="shared" si="15"/>
        <v>0</v>
      </c>
      <c r="T24" s="4">
        <f t="shared" si="16"/>
        <v>0</v>
      </c>
      <c r="U24" s="4">
        <f t="shared" si="17"/>
        <v>0</v>
      </c>
      <c r="V24" s="4">
        <f t="shared" si="18"/>
        <v>0</v>
      </c>
      <c r="W24" s="4">
        <f t="shared" si="19"/>
        <v>0</v>
      </c>
      <c r="X24" s="4">
        <f t="shared" si="20"/>
        <v>0</v>
      </c>
      <c r="Y24" s="4">
        <f t="shared" si="21"/>
        <v>0</v>
      </c>
      <c r="Z24" s="4">
        <f t="shared" si="22"/>
        <v>0</v>
      </c>
      <c r="AA24" s="4">
        <f t="shared" si="23"/>
        <v>0</v>
      </c>
      <c r="AB24" s="4">
        <f t="shared" si="24"/>
        <v>0</v>
      </c>
      <c r="AC24" s="4">
        <f t="shared" si="25"/>
        <v>0</v>
      </c>
      <c r="AD24" s="4">
        <f t="shared" si="26"/>
        <v>0</v>
      </c>
      <c r="AE24" s="4">
        <f t="shared" si="27"/>
        <v>0</v>
      </c>
      <c r="AF24" s="4">
        <f t="shared" si="28"/>
        <v>0</v>
      </c>
      <c r="AG24" s="17">
        <f t="shared" si="29"/>
        <v>0</v>
      </c>
      <c r="AH24" s="4">
        <f t="shared" si="30"/>
        <v>0</v>
      </c>
      <c r="AI24" s="4">
        <f t="shared" si="31"/>
        <v>0</v>
      </c>
      <c r="AJ24" s="4">
        <f t="shared" si="32"/>
        <v>0</v>
      </c>
      <c r="AK24" s="4">
        <f t="shared" si="33"/>
        <v>0</v>
      </c>
      <c r="AL24" s="17">
        <f t="shared" si="34"/>
        <v>0</v>
      </c>
      <c r="AM24" s="18">
        <f t="shared" si="35"/>
        <v>0</v>
      </c>
    </row>
    <row r="25" spans="1:39" x14ac:dyDescent="0.2">
      <c r="A25" t="s">
        <v>78</v>
      </c>
      <c r="B25" s="4">
        <v>30000</v>
      </c>
      <c r="C25">
        <v>25</v>
      </c>
      <c r="D25" s="4">
        <f t="shared" si="0"/>
        <v>2500</v>
      </c>
      <c r="E25" s="4">
        <f t="shared" si="1"/>
        <v>0</v>
      </c>
      <c r="F25" s="4">
        <f t="shared" si="2"/>
        <v>0</v>
      </c>
      <c r="G25" s="4">
        <f t="shared" si="3"/>
        <v>0</v>
      </c>
      <c r="H25" s="4">
        <f t="shared" si="4"/>
        <v>0</v>
      </c>
      <c r="I25" s="4">
        <f t="shared" si="5"/>
        <v>0</v>
      </c>
      <c r="J25" s="4">
        <f t="shared" si="6"/>
        <v>0</v>
      </c>
      <c r="K25" s="4">
        <f t="shared" si="7"/>
        <v>0</v>
      </c>
      <c r="L25" s="4">
        <f t="shared" si="8"/>
        <v>0</v>
      </c>
      <c r="M25" s="4">
        <f t="shared" si="9"/>
        <v>0</v>
      </c>
      <c r="N25" s="4">
        <f t="shared" si="10"/>
        <v>0</v>
      </c>
      <c r="O25" s="4">
        <f t="shared" si="11"/>
        <v>0</v>
      </c>
      <c r="P25" s="4">
        <f t="shared" si="12"/>
        <v>0</v>
      </c>
      <c r="Q25" s="4">
        <f t="shared" si="13"/>
        <v>0</v>
      </c>
      <c r="R25" s="4">
        <f t="shared" si="14"/>
        <v>0</v>
      </c>
      <c r="S25" s="4">
        <f t="shared" si="15"/>
        <v>0</v>
      </c>
      <c r="T25" s="4">
        <f t="shared" si="16"/>
        <v>0</v>
      </c>
      <c r="U25" s="4">
        <f t="shared" si="17"/>
        <v>0</v>
      </c>
      <c r="V25" s="4">
        <f t="shared" si="18"/>
        <v>0</v>
      </c>
      <c r="W25" s="4">
        <f t="shared" si="19"/>
        <v>0</v>
      </c>
      <c r="X25" s="4">
        <f t="shared" si="20"/>
        <v>0</v>
      </c>
      <c r="Y25" s="4">
        <f t="shared" si="21"/>
        <v>0</v>
      </c>
      <c r="Z25" s="4">
        <f t="shared" si="22"/>
        <v>0</v>
      </c>
      <c r="AA25" s="4">
        <f t="shared" si="23"/>
        <v>0</v>
      </c>
      <c r="AB25" s="4">
        <f t="shared" si="24"/>
        <v>0</v>
      </c>
      <c r="AC25" s="4">
        <f t="shared" si="25"/>
        <v>0</v>
      </c>
      <c r="AD25" s="4">
        <f t="shared" si="26"/>
        <v>0</v>
      </c>
      <c r="AE25" s="4">
        <f t="shared" si="27"/>
        <v>0</v>
      </c>
      <c r="AF25" s="4">
        <f t="shared" si="28"/>
        <v>0</v>
      </c>
      <c r="AG25" s="17">
        <f t="shared" si="29"/>
        <v>0</v>
      </c>
      <c r="AH25" s="4">
        <f t="shared" si="30"/>
        <v>0</v>
      </c>
      <c r="AI25" s="4">
        <f t="shared" si="31"/>
        <v>0</v>
      </c>
      <c r="AJ25" s="4">
        <f t="shared" si="32"/>
        <v>0</v>
      </c>
      <c r="AK25" s="4">
        <f t="shared" si="33"/>
        <v>0</v>
      </c>
      <c r="AL25" s="17">
        <f t="shared" si="34"/>
        <v>0</v>
      </c>
      <c r="AM25" s="18">
        <f t="shared" si="35"/>
        <v>0</v>
      </c>
    </row>
    <row r="26" spans="1:39" x14ac:dyDescent="0.2">
      <c r="A26" s="3" t="s">
        <v>45</v>
      </c>
      <c r="B26" t="s">
        <v>79</v>
      </c>
      <c r="C26" t="s">
        <v>79</v>
      </c>
      <c r="D26" s="19">
        <f>SUM(D2:D25)</f>
        <v>311833.33333333331</v>
      </c>
      <c r="E26" s="10">
        <f>SUM(E2:E25)</f>
        <v>30416.666666666664</v>
      </c>
      <c r="F26" s="10">
        <f>SUM(F2:F25)</f>
        <v>42916.666666666664</v>
      </c>
      <c r="G26" s="10">
        <f>SUM(G2:G25)</f>
        <v>149583.33333333334</v>
      </c>
      <c r="H26" s="10">
        <f>SUM(H2:H25)</f>
        <v>149583.33333333334</v>
      </c>
      <c r="I26" s="10">
        <f>SUM(I2:I25)</f>
        <v>164583.33333333334</v>
      </c>
      <c r="J26" s="10">
        <f>SUM(J2:J25)</f>
        <v>164583.33333333334</v>
      </c>
      <c r="K26" s="10">
        <f>SUM(K2:K25)</f>
        <v>177083.33333333334</v>
      </c>
      <c r="L26" s="10">
        <f>SUM(L2:L25)</f>
        <v>177083.33333333334</v>
      </c>
      <c r="M26" s="10">
        <f>SUM(M2:M25)</f>
        <v>177083.33333333334</v>
      </c>
      <c r="N26" s="10">
        <f>SUM(N2:N25)</f>
        <v>177083.33333333334</v>
      </c>
      <c r="O26" s="10">
        <f>SUM(O2:O25)</f>
        <v>177083.33333333334</v>
      </c>
      <c r="P26" s="10">
        <f>SUM(P2:P25)</f>
        <v>177083.33333333334</v>
      </c>
      <c r="Q26" s="10">
        <f>SUM(Q2:Q25)</f>
        <v>177083.33333333334</v>
      </c>
      <c r="R26" s="10">
        <f>SUM(R2:R25)</f>
        <v>177083.33333333334</v>
      </c>
      <c r="S26" s="10">
        <f>SUM(S2:S25)</f>
        <v>177083.33333333334</v>
      </c>
      <c r="T26" s="10">
        <f>SUM(T2:T25)</f>
        <v>177083.33333333334</v>
      </c>
      <c r="U26" s="10">
        <f>SUM(U2:U25)</f>
        <v>177083.33333333334</v>
      </c>
      <c r="V26" s="10">
        <f>SUM(V2:V25)</f>
        <v>177083.33333333334</v>
      </c>
      <c r="W26" s="10">
        <f>SUM(W2:W25)</f>
        <v>177083.33333333334</v>
      </c>
      <c r="X26" s="10">
        <f>SUM(X2:X25)</f>
        <v>177083.33333333334</v>
      </c>
      <c r="Y26" s="10">
        <f>SUM(Y2:Y25)</f>
        <v>177083.33333333334</v>
      </c>
      <c r="Z26" s="10">
        <f>SUM(Z2:Z25)</f>
        <v>177083.33333333334</v>
      </c>
      <c r="AA26" s="10">
        <f>SUM(AA2:AA25)</f>
        <v>177083.33333333334</v>
      </c>
      <c r="AB26" s="10">
        <f>SUM(AB2:AB25)</f>
        <v>177083.33333333334</v>
      </c>
      <c r="AC26" s="10">
        <f>SUM(AC2:AC25)</f>
        <v>222916.66666666669</v>
      </c>
      <c r="AD26" s="10">
        <f>SUM(AD2:AD25)</f>
        <v>478750</v>
      </c>
      <c r="AE26" s="10">
        <f>SUM(AE2:AE25)</f>
        <v>531250</v>
      </c>
      <c r="AF26" s="10">
        <f>SUM(AF2:AF25)</f>
        <v>531250</v>
      </c>
      <c r="AG26" s="10">
        <f>SUM(AG2:AG25)</f>
        <v>1764166.6666666667</v>
      </c>
      <c r="AH26" s="10">
        <f>SUM(AH2:AH25)</f>
        <v>531250</v>
      </c>
      <c r="AI26" s="10">
        <f>SUM(AI2:AI25)</f>
        <v>531250</v>
      </c>
      <c r="AJ26" s="10">
        <f>SUM(AJ2:AJ25)</f>
        <v>531250</v>
      </c>
      <c r="AK26" s="10">
        <f>SUM(AK2:AK25)</f>
        <v>531250</v>
      </c>
      <c r="AL26" s="10">
        <f>SUM(AL2:AL25)</f>
        <v>2125000</v>
      </c>
      <c r="AM26" s="10">
        <f>SUM(AM2:AM25)</f>
        <v>3889166.6666666665</v>
      </c>
    </row>
    <row r="27" spans="1:39" x14ac:dyDescent="0.2">
      <c r="A27" s="3" t="s">
        <v>80</v>
      </c>
      <c r="B27" s="20">
        <v>30</v>
      </c>
      <c r="C27" s="21" t="s">
        <v>81</v>
      </c>
      <c r="D27" s="4">
        <f>D26*B27</f>
        <v>9355000</v>
      </c>
      <c r="E27" s="4">
        <f t="shared" ref="E27:AM27" si="36">E26*0.35</f>
        <v>10645.833333333332</v>
      </c>
      <c r="F27" s="4">
        <f t="shared" si="36"/>
        <v>15020.833333333332</v>
      </c>
      <c r="G27" s="4">
        <f t="shared" si="36"/>
        <v>52354.166666666664</v>
      </c>
      <c r="H27" s="4">
        <f t="shared" si="36"/>
        <v>52354.166666666664</v>
      </c>
      <c r="I27" s="4">
        <f t="shared" si="36"/>
        <v>57604.166666666664</v>
      </c>
      <c r="J27" s="4">
        <f t="shared" si="36"/>
        <v>57604.166666666664</v>
      </c>
      <c r="K27" s="4">
        <f t="shared" si="36"/>
        <v>61979.166666666664</v>
      </c>
      <c r="L27" s="4">
        <f t="shared" si="36"/>
        <v>61979.166666666664</v>
      </c>
      <c r="M27" s="4">
        <f t="shared" si="36"/>
        <v>61979.166666666664</v>
      </c>
      <c r="N27" s="4">
        <f t="shared" si="36"/>
        <v>61979.166666666664</v>
      </c>
      <c r="O27" s="4">
        <f t="shared" si="36"/>
        <v>61979.166666666664</v>
      </c>
      <c r="P27" s="4">
        <f t="shared" si="36"/>
        <v>61979.166666666664</v>
      </c>
      <c r="Q27" s="4">
        <f t="shared" si="36"/>
        <v>61979.166666666664</v>
      </c>
      <c r="R27" s="4">
        <f t="shared" si="36"/>
        <v>61979.166666666664</v>
      </c>
      <c r="S27" s="4">
        <f t="shared" si="36"/>
        <v>61979.166666666664</v>
      </c>
      <c r="T27" s="4">
        <f t="shared" si="36"/>
        <v>61979.166666666664</v>
      </c>
      <c r="U27" s="4">
        <f t="shared" si="36"/>
        <v>61979.166666666664</v>
      </c>
      <c r="V27" s="4">
        <f t="shared" si="36"/>
        <v>61979.166666666664</v>
      </c>
      <c r="W27" s="4">
        <f t="shared" si="36"/>
        <v>61979.166666666664</v>
      </c>
      <c r="X27" s="4">
        <f t="shared" si="36"/>
        <v>61979.166666666664</v>
      </c>
      <c r="Y27" s="4">
        <f t="shared" si="36"/>
        <v>61979.166666666664</v>
      </c>
      <c r="Z27" s="4">
        <f t="shared" si="36"/>
        <v>61979.166666666664</v>
      </c>
      <c r="AA27" s="4">
        <f t="shared" si="36"/>
        <v>61979.166666666664</v>
      </c>
      <c r="AB27" s="4">
        <f t="shared" si="36"/>
        <v>61979.166666666664</v>
      </c>
      <c r="AC27" s="4">
        <f t="shared" si="36"/>
        <v>78020.833333333328</v>
      </c>
      <c r="AD27" s="4">
        <f t="shared" si="36"/>
        <v>167562.5</v>
      </c>
      <c r="AE27" s="4">
        <f t="shared" si="36"/>
        <v>185937.5</v>
      </c>
      <c r="AF27" s="4">
        <f t="shared" si="36"/>
        <v>185937.5</v>
      </c>
      <c r="AG27" s="4">
        <f t="shared" si="36"/>
        <v>617458.33333333337</v>
      </c>
      <c r="AH27" s="4">
        <f t="shared" si="36"/>
        <v>185937.5</v>
      </c>
      <c r="AI27" s="4">
        <f t="shared" si="36"/>
        <v>185937.5</v>
      </c>
      <c r="AJ27" s="4">
        <f t="shared" si="36"/>
        <v>185937.5</v>
      </c>
      <c r="AK27" s="4">
        <f t="shared" si="36"/>
        <v>185937.5</v>
      </c>
      <c r="AL27" s="4">
        <f t="shared" si="36"/>
        <v>743750</v>
      </c>
      <c r="AM27" s="4">
        <f t="shared" si="36"/>
        <v>1361208.3333333333</v>
      </c>
    </row>
    <row r="28" spans="1:39" x14ac:dyDescent="0.2">
      <c r="A28" s="3" t="s">
        <v>47</v>
      </c>
      <c r="B28" s="22">
        <v>10000</v>
      </c>
      <c r="C28" s="21" t="s">
        <v>82</v>
      </c>
      <c r="E28" s="4">
        <f>B28*SUMPRODUCT((C2:C25=1)*1)</f>
        <v>20000</v>
      </c>
      <c r="F28" s="4">
        <f>B28*SUMPRODUCT((C2:C25=2)*1)</f>
        <v>10000</v>
      </c>
      <c r="G28" s="4">
        <f>B28*SUMPRODUCT((C2:C25=3)*1)</f>
        <v>50000</v>
      </c>
      <c r="H28" s="4">
        <f>B28*SUMPRODUCT((C2:C25=4)*1)</f>
        <v>0</v>
      </c>
      <c r="I28" s="4">
        <f>B28*SUMPRODUCT((C2:C25=5)*1)</f>
        <v>10000</v>
      </c>
      <c r="J28" s="4">
        <f>B28*SUMPRODUCT((C2:C25=6)*1)</f>
        <v>0</v>
      </c>
      <c r="K28" s="4">
        <f>B28*SUMPRODUCT((C2:C25=7)*1)</f>
        <v>10000</v>
      </c>
      <c r="L28" s="4">
        <f>B28*SUMPRODUCT((C2:C25=8)*1)</f>
        <v>0</v>
      </c>
      <c r="M28" s="4">
        <f>B28*SUMPRODUCT((C2:C25=9)*1)</f>
        <v>0</v>
      </c>
      <c r="N28" s="4">
        <f>B28*SUMPRODUCT((C2:C25=10)*1)</f>
        <v>0</v>
      </c>
      <c r="O28" s="4">
        <f>B28*SUMPRODUCT((C2:C25=11)*1)</f>
        <v>0</v>
      </c>
      <c r="P28" s="4">
        <f>B28*SUMPRODUCT((C2:C25=12)*1)</f>
        <v>0</v>
      </c>
      <c r="Q28" s="4">
        <f>B28*SUMPRODUCT((C2:C25=13)*1)</f>
        <v>0</v>
      </c>
      <c r="R28" s="4">
        <f>B28*SUMPRODUCT((C2:C25=14)*1)</f>
        <v>0</v>
      </c>
      <c r="S28" s="4">
        <f>B28*SUMPRODUCT((C2:C25=15)*1)</f>
        <v>0</v>
      </c>
      <c r="T28" s="4">
        <f>B28*SUMPRODUCT((C2:C25=16)*1)</f>
        <v>0</v>
      </c>
      <c r="U28" s="4">
        <f>B28*SUMPRODUCT((C2:C25=17)*1)</f>
        <v>0</v>
      </c>
      <c r="V28" s="4">
        <f>B28*SUMPRODUCT((C2:C25=18)*1)</f>
        <v>0</v>
      </c>
      <c r="W28" s="4">
        <f>B28*SUMPRODUCT((C2:C25=19)*1)</f>
        <v>0</v>
      </c>
      <c r="X28" s="4">
        <f>B28*SUMPRODUCT((C2:C25=20)*1)</f>
        <v>0</v>
      </c>
      <c r="Y28" s="4">
        <f>B28*SUMPRODUCT((C2:C25=21)*1)</f>
        <v>0</v>
      </c>
      <c r="Z28" s="4">
        <f>B28*SUMPRODUCT((C2:C25=22)*1)</f>
        <v>0</v>
      </c>
      <c r="AA28" s="4">
        <f>B28*SUMPRODUCT((C2:C25=23)*1)</f>
        <v>0</v>
      </c>
      <c r="AB28" s="4">
        <f>B28*SUMPRODUCT((C2:C25=24)*1)</f>
        <v>0</v>
      </c>
      <c r="AC28" s="4">
        <f>SUM(E28:G28)</f>
        <v>80000</v>
      </c>
      <c r="AD28" s="4">
        <f>SUM(H28:J28)</f>
        <v>10000</v>
      </c>
      <c r="AE28" s="4">
        <f>SUM(K28:M28)</f>
        <v>10000</v>
      </c>
      <c r="AF28" s="4">
        <f>SUM(N28:P28)</f>
        <v>0</v>
      </c>
      <c r="AG28" s="17">
        <f>SUM(AC28:AF28)</f>
        <v>100000</v>
      </c>
      <c r="AH28" s="4">
        <f>SUM(Q28:S28)</f>
        <v>0</v>
      </c>
      <c r="AI28" s="4">
        <f>SUM(T28:V28)</f>
        <v>0</v>
      </c>
      <c r="AJ28" s="4">
        <f>SUM(W28:Y28)</f>
        <v>0</v>
      </c>
      <c r="AK28" s="4">
        <f>SUM(Z28:AB28)</f>
        <v>0</v>
      </c>
      <c r="AL28" s="17">
        <f>SUM(AH28:AK28)</f>
        <v>0</v>
      </c>
      <c r="AM28" s="18">
        <f>AG28+AL28</f>
        <v>100000</v>
      </c>
    </row>
    <row r="29" spans="1:39" ht="16" x14ac:dyDescent="0.2">
      <c r="A29" s="5" t="s">
        <v>48</v>
      </c>
      <c r="D29" s="11">
        <f t="shared" ref="D29:AM29" si="37">D26+D27+D28</f>
        <v>9666833.333333334</v>
      </c>
      <c r="E29" s="11">
        <f t="shared" si="37"/>
        <v>61062.5</v>
      </c>
      <c r="F29" s="11">
        <f t="shared" si="37"/>
        <v>67937.5</v>
      </c>
      <c r="G29" s="11">
        <f t="shared" si="37"/>
        <v>251937.5</v>
      </c>
      <c r="H29" s="11">
        <f t="shared" si="37"/>
        <v>201937.5</v>
      </c>
      <c r="I29" s="11">
        <f t="shared" si="37"/>
        <v>232187.5</v>
      </c>
      <c r="J29" s="11">
        <f t="shared" si="37"/>
        <v>222187.5</v>
      </c>
      <c r="K29" s="11">
        <f t="shared" si="37"/>
        <v>249062.5</v>
      </c>
      <c r="L29" s="11">
        <f t="shared" si="37"/>
        <v>239062.5</v>
      </c>
      <c r="M29" s="11">
        <f t="shared" si="37"/>
        <v>239062.5</v>
      </c>
      <c r="N29" s="11">
        <f t="shared" si="37"/>
        <v>239062.5</v>
      </c>
      <c r="O29" s="11">
        <f t="shared" si="37"/>
        <v>239062.5</v>
      </c>
      <c r="P29" s="11">
        <f t="shared" si="37"/>
        <v>239062.5</v>
      </c>
      <c r="Q29" s="11">
        <f t="shared" si="37"/>
        <v>239062.5</v>
      </c>
      <c r="R29" s="11">
        <f t="shared" si="37"/>
        <v>239062.5</v>
      </c>
      <c r="S29" s="11">
        <f t="shared" si="37"/>
        <v>239062.5</v>
      </c>
      <c r="T29" s="11">
        <f t="shared" si="37"/>
        <v>239062.5</v>
      </c>
      <c r="U29" s="11">
        <f t="shared" si="37"/>
        <v>239062.5</v>
      </c>
      <c r="V29" s="11">
        <f t="shared" si="37"/>
        <v>239062.5</v>
      </c>
      <c r="W29" s="11">
        <f t="shared" si="37"/>
        <v>239062.5</v>
      </c>
      <c r="X29" s="11">
        <f t="shared" si="37"/>
        <v>239062.5</v>
      </c>
      <c r="Y29" s="11">
        <f t="shared" si="37"/>
        <v>239062.5</v>
      </c>
      <c r="Z29" s="11">
        <f t="shared" si="37"/>
        <v>239062.5</v>
      </c>
      <c r="AA29" s="11">
        <f t="shared" si="37"/>
        <v>239062.5</v>
      </c>
      <c r="AB29" s="11">
        <f t="shared" si="37"/>
        <v>239062.5</v>
      </c>
      <c r="AC29" s="11">
        <f t="shared" si="37"/>
        <v>380937.5</v>
      </c>
      <c r="AD29" s="11">
        <f t="shared" si="37"/>
        <v>656312.5</v>
      </c>
      <c r="AE29" s="11">
        <f t="shared" si="37"/>
        <v>727187.5</v>
      </c>
      <c r="AF29" s="11">
        <f t="shared" si="37"/>
        <v>717187.5</v>
      </c>
      <c r="AG29" s="11">
        <f t="shared" si="37"/>
        <v>2481625</v>
      </c>
      <c r="AH29" s="11">
        <f t="shared" si="37"/>
        <v>717187.5</v>
      </c>
      <c r="AI29" s="11">
        <f t="shared" si="37"/>
        <v>717187.5</v>
      </c>
      <c r="AJ29" s="11">
        <f t="shared" si="37"/>
        <v>717187.5</v>
      </c>
      <c r="AK29" s="11">
        <f t="shared" si="37"/>
        <v>717187.5</v>
      </c>
      <c r="AL29" s="11">
        <f t="shared" si="37"/>
        <v>2868750</v>
      </c>
      <c r="AM29" s="11">
        <f t="shared" si="37"/>
        <v>5350375</v>
      </c>
    </row>
    <row r="30" spans="1:39" x14ac:dyDescent="0.2">
      <c r="A30" s="6" t="s">
        <v>49</v>
      </c>
      <c r="E30" s="7">
        <f>E29</f>
        <v>61062.5</v>
      </c>
      <c r="F30" s="7">
        <f t="shared" ref="F30:AB30" si="38">E30+F29</f>
        <v>129000</v>
      </c>
      <c r="G30" s="7">
        <f t="shared" si="38"/>
        <v>380937.5</v>
      </c>
      <c r="H30" s="7">
        <f t="shared" si="38"/>
        <v>582875</v>
      </c>
      <c r="I30" s="7">
        <f t="shared" si="38"/>
        <v>815062.5</v>
      </c>
      <c r="J30" s="7">
        <f t="shared" si="38"/>
        <v>1037250</v>
      </c>
      <c r="K30" s="7">
        <f t="shared" si="38"/>
        <v>1286312.5</v>
      </c>
      <c r="L30" s="7">
        <f t="shared" si="38"/>
        <v>1525375</v>
      </c>
      <c r="M30" s="7">
        <f t="shared" si="38"/>
        <v>1764437.5</v>
      </c>
      <c r="N30" s="7">
        <f t="shared" si="38"/>
        <v>2003500</v>
      </c>
      <c r="O30" s="7">
        <f t="shared" si="38"/>
        <v>2242562.5</v>
      </c>
      <c r="P30" s="7">
        <f t="shared" si="38"/>
        <v>2481625</v>
      </c>
      <c r="Q30" s="7">
        <f t="shared" si="38"/>
        <v>2720687.5</v>
      </c>
      <c r="R30" s="7">
        <f t="shared" si="38"/>
        <v>2959750</v>
      </c>
      <c r="S30" s="7">
        <f t="shared" si="38"/>
        <v>3198812.5</v>
      </c>
      <c r="T30" s="7">
        <f t="shared" si="38"/>
        <v>3437875</v>
      </c>
      <c r="U30" s="7">
        <f t="shared" si="38"/>
        <v>3676937.5</v>
      </c>
      <c r="V30" s="7">
        <f t="shared" si="38"/>
        <v>3916000</v>
      </c>
      <c r="W30" s="7">
        <f t="shared" si="38"/>
        <v>4155062.5</v>
      </c>
      <c r="X30" s="7">
        <f t="shared" si="38"/>
        <v>4394125</v>
      </c>
      <c r="Y30" s="7">
        <f t="shared" si="38"/>
        <v>4633187.5</v>
      </c>
      <c r="Z30" s="7">
        <f t="shared" si="38"/>
        <v>4872250</v>
      </c>
      <c r="AA30" s="7">
        <f t="shared" si="38"/>
        <v>5111312.5</v>
      </c>
      <c r="AB30" s="7">
        <f t="shared" si="38"/>
        <v>5350375</v>
      </c>
      <c r="AC30" s="7">
        <f>G30</f>
        <v>380937.5</v>
      </c>
      <c r="AD30" s="7">
        <f>J30</f>
        <v>1037250</v>
      </c>
      <c r="AE30" s="7">
        <f>M30</f>
        <v>1764437.5</v>
      </c>
      <c r="AF30" s="7">
        <f>P30</f>
        <v>2481625</v>
      </c>
      <c r="AG30" s="8">
        <f>AF30</f>
        <v>2481625</v>
      </c>
      <c r="AH30" s="7">
        <f>S30</f>
        <v>3198812.5</v>
      </c>
      <c r="AI30" s="7">
        <f>V30</f>
        <v>3916000</v>
      </c>
      <c r="AJ30" s="7">
        <f>Y30</f>
        <v>4633187.5</v>
      </c>
      <c r="AK30" s="7">
        <f>AB30</f>
        <v>5350375</v>
      </c>
      <c r="AL30" s="8">
        <f>AK30</f>
        <v>5350375</v>
      </c>
      <c r="AM30" s="8">
        <f>AB30</f>
        <v>5350375</v>
      </c>
    </row>
  </sheetData>
  <pageMargins left="0.7" right="0.7" top="0.75" bottom="0.75" header="0.3" footer="0.3"/>
  <pageSetup orientation="portrait" horizontalDpi="4294967295" verticalDpi="429496729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M15"/>
  <sheetViews>
    <sheetView zoomScale="160" zoomScaleNormal="160" workbookViewId="0">
      <selection activeCell="B9" sqref="B9"/>
    </sheetView>
  </sheetViews>
  <sheetFormatPr baseColWidth="10" defaultColWidth="8.83203125" defaultRowHeight="15" outlineLevelCol="1" x14ac:dyDescent="0.2"/>
  <cols>
    <col min="1" max="1" width="35" customWidth="1"/>
    <col min="2" max="2" width="14" customWidth="1"/>
    <col min="3" max="3" width="12" customWidth="1"/>
    <col min="4" max="4" width="45" customWidth="1"/>
    <col min="5" max="16" width="11" customWidth="1"/>
    <col min="17" max="28" width="11" hidden="1" customWidth="1" outlineLevel="1" collapsed="1"/>
    <col min="29" max="29" width="11" customWidth="1" collapsed="1"/>
    <col min="30" max="39" width="11" customWidth="1"/>
  </cols>
  <sheetData>
    <row r="1" spans="1:39" ht="19" x14ac:dyDescent="0.25">
      <c r="A1" s="9" t="s">
        <v>37</v>
      </c>
    </row>
    <row r="3" spans="1:39" ht="16" x14ac:dyDescent="0.2">
      <c r="A3" s="2" t="s">
        <v>83</v>
      </c>
      <c r="B3" s="2" t="s">
        <v>84</v>
      </c>
      <c r="C3" s="2" t="s">
        <v>85</v>
      </c>
      <c r="D3" s="2" t="s">
        <v>86</v>
      </c>
      <c r="E3" s="16" t="s">
        <v>1</v>
      </c>
      <c r="F3" s="16" t="s">
        <v>2</v>
      </c>
      <c r="G3" s="16" t="s">
        <v>3</v>
      </c>
      <c r="H3" s="16" t="s">
        <v>4</v>
      </c>
      <c r="I3" s="16" t="s">
        <v>5</v>
      </c>
      <c r="J3" s="16" t="s">
        <v>6</v>
      </c>
      <c r="K3" s="16" t="s">
        <v>7</v>
      </c>
      <c r="L3" s="16" t="s">
        <v>8</v>
      </c>
      <c r="M3" s="16" t="s">
        <v>9</v>
      </c>
      <c r="N3" s="16" t="s">
        <v>10</v>
      </c>
      <c r="O3" s="16" t="s">
        <v>11</v>
      </c>
      <c r="P3" s="16" t="s">
        <v>12</v>
      </c>
      <c r="Q3" s="16" t="s">
        <v>13</v>
      </c>
      <c r="R3" s="16" t="s">
        <v>14</v>
      </c>
      <c r="S3" s="16" t="s">
        <v>15</v>
      </c>
      <c r="T3" s="16" t="s">
        <v>16</v>
      </c>
      <c r="U3" s="16" t="s">
        <v>17</v>
      </c>
      <c r="V3" s="16" t="s">
        <v>18</v>
      </c>
      <c r="W3" s="16" t="s">
        <v>19</v>
      </c>
      <c r="X3" s="16" t="s">
        <v>20</v>
      </c>
      <c r="Y3" s="16" t="s">
        <v>21</v>
      </c>
      <c r="Z3" s="16" t="s">
        <v>22</v>
      </c>
      <c r="AA3" s="16" t="s">
        <v>23</v>
      </c>
      <c r="AB3" s="16" t="s">
        <v>24</v>
      </c>
      <c r="AC3" s="2" t="s">
        <v>25</v>
      </c>
      <c r="AD3" s="2" t="s">
        <v>26</v>
      </c>
      <c r="AE3" s="2" t="s">
        <v>27</v>
      </c>
      <c r="AF3" s="2" t="s">
        <v>28</v>
      </c>
      <c r="AG3" s="2" t="s">
        <v>29</v>
      </c>
      <c r="AH3" s="2" t="s">
        <v>30</v>
      </c>
      <c r="AI3" s="2" t="s">
        <v>31</v>
      </c>
      <c r="AJ3" s="2" t="s">
        <v>32</v>
      </c>
      <c r="AK3" s="2" t="s">
        <v>33</v>
      </c>
      <c r="AL3" s="2" t="s">
        <v>34</v>
      </c>
      <c r="AM3" s="2" t="s">
        <v>35</v>
      </c>
    </row>
    <row r="4" spans="1:39" x14ac:dyDescent="0.2">
      <c r="A4" t="s">
        <v>87</v>
      </c>
      <c r="B4" s="23">
        <v>5000</v>
      </c>
      <c r="C4" s="24">
        <v>0.1</v>
      </c>
      <c r="D4" s="25" t="s">
        <v>88</v>
      </c>
      <c r="E4" s="4">
        <f t="shared" ref="E4:E13" si="0">B4*POWER(1+C4,0)</f>
        <v>5000</v>
      </c>
      <c r="F4" s="4">
        <f t="shared" ref="F4:F13" si="1">B4*POWER(1+C4,1)</f>
        <v>5500</v>
      </c>
      <c r="G4" s="4">
        <f t="shared" ref="G4:G13" si="2">B4*POWER(1+C4,2)</f>
        <v>6050.0000000000009</v>
      </c>
      <c r="H4" s="4">
        <f t="shared" ref="H4:H13" si="3">B4*POWER(1+C4,3)</f>
        <v>6655.0000000000018</v>
      </c>
      <c r="I4" s="4">
        <f t="shared" ref="I4:I13" si="4">B4*POWER(1+C4,4)</f>
        <v>7320.5000000000018</v>
      </c>
      <c r="J4" s="4">
        <f t="shared" ref="J4:J13" si="5">B4*POWER(1+C4,5)</f>
        <v>8052.5500000000029</v>
      </c>
      <c r="K4" s="4">
        <f t="shared" ref="K4:K13" si="6">B4*POWER(1+C4,6)</f>
        <v>8857.8050000000039</v>
      </c>
      <c r="L4" s="4">
        <f t="shared" ref="L4:L13" si="7">B4*POWER(1+C4,7)</f>
        <v>9743.5855000000065</v>
      </c>
      <c r="M4" s="4">
        <f t="shared" ref="M4:M13" si="8">B4*POWER(1+C4,8)</f>
        <v>10717.944050000006</v>
      </c>
      <c r="N4" s="4">
        <f t="shared" ref="N4:N13" si="9">B4*POWER(1+C4,9)</f>
        <v>11789.738455000008</v>
      </c>
      <c r="O4" s="4">
        <f t="shared" ref="O4:O13" si="10">B4*POWER(1+C4,10)</f>
        <v>12968.712300500008</v>
      </c>
      <c r="P4" s="4">
        <f t="shared" ref="P4:P13" si="11">B4*POWER(1+C4,11)</f>
        <v>14265.583530550013</v>
      </c>
      <c r="Q4" s="4">
        <f t="shared" ref="Q4:Q13" si="12">B4*POWER(1+C4,12)</f>
        <v>15692.141883605012</v>
      </c>
      <c r="R4" s="4">
        <f t="shared" ref="R4:R13" si="13">B4*POWER(1+C4,13)</f>
        <v>17261.356071965514</v>
      </c>
      <c r="S4" s="4">
        <f t="shared" ref="S4:S13" si="14">B4*POWER(1+C4,14)</f>
        <v>18987.491679162071</v>
      </c>
      <c r="T4" s="4">
        <f t="shared" ref="T4:T13" si="15">B4*POWER(1+C4,15)</f>
        <v>20886.240847078276</v>
      </c>
      <c r="U4" s="4">
        <f t="shared" ref="U4:U13" si="16">B4*POWER(1+C4,16)</f>
        <v>22974.864931786105</v>
      </c>
      <c r="V4" s="4">
        <f t="shared" ref="V4:V13" si="17">B4*POWER(1+C4,17)</f>
        <v>25272.351424964716</v>
      </c>
      <c r="W4" s="4">
        <f t="shared" ref="W4:W13" si="18">B4*POWER(1+C4,18)</f>
        <v>27799.586567461189</v>
      </c>
      <c r="X4" s="4">
        <f t="shared" ref="X4:X13" si="19">B4*POWER(1+C4,19)</f>
        <v>30579.545224207315</v>
      </c>
      <c r="Y4" s="4">
        <f t="shared" ref="Y4:Y13" si="20">B4*POWER(1+C4,20)</f>
        <v>33637.499746628047</v>
      </c>
      <c r="Z4" s="4">
        <f t="shared" ref="Z4:Z13" si="21">B4*POWER(1+C4,21)</f>
        <v>37001.249721290857</v>
      </c>
      <c r="AA4" s="4">
        <f t="shared" ref="AA4:AA13" si="22">B4*POWER(1+C4,22)</f>
        <v>40701.374693419944</v>
      </c>
      <c r="AB4" s="4">
        <f t="shared" ref="AB4:AB13" si="23">B4*POWER(1+C4,23)</f>
        <v>44771.512162761945</v>
      </c>
      <c r="AC4" s="4">
        <f t="shared" ref="AC4:AC13" si="24">SUM(E4:G4)</f>
        <v>16550</v>
      </c>
      <c r="AD4" s="4">
        <f t="shared" ref="AD4:AD13" si="25">SUM(H4:J4)</f>
        <v>22028.050000000007</v>
      </c>
      <c r="AE4" s="4">
        <f t="shared" ref="AE4:AE13" si="26">SUM(K4:M4)</f>
        <v>29319.334550000014</v>
      </c>
      <c r="AF4" s="4">
        <f t="shared" ref="AF4:AF13" si="27">SUM(N4:P4)</f>
        <v>39024.034286050031</v>
      </c>
      <c r="AG4" s="17">
        <f t="shared" ref="AG4:AG13" si="28">SUM(AC4:AF4)</f>
        <v>106921.41883605006</v>
      </c>
      <c r="AH4" s="4">
        <f t="shared" ref="AH4:AH13" si="29">SUM(Q4:S4)</f>
        <v>51940.989634732599</v>
      </c>
      <c r="AI4" s="4">
        <f t="shared" ref="AI4:AI13" si="30">SUM(T4:V4)</f>
        <v>69133.457203829093</v>
      </c>
      <c r="AJ4" s="4">
        <f t="shared" ref="AJ4:AJ13" si="31">SUM(W4:Y4)</f>
        <v>92016.631538296555</v>
      </c>
      <c r="AK4" s="4">
        <f t="shared" ref="AK4:AK13" si="32">SUM(Z4:AB4)</f>
        <v>122474.13657747273</v>
      </c>
      <c r="AL4" s="17">
        <f t="shared" ref="AL4:AL13" si="33">SUM(AH4:AK4)</f>
        <v>335565.21495433099</v>
      </c>
      <c r="AM4" s="18">
        <f t="shared" ref="AM4:AM13" si="34">AG4+AL4</f>
        <v>442486.63379038102</v>
      </c>
    </row>
    <row r="5" spans="1:39" x14ac:dyDescent="0.2">
      <c r="A5" t="s">
        <v>89</v>
      </c>
      <c r="B5" s="23"/>
      <c r="C5" s="24">
        <v>0.05</v>
      </c>
      <c r="D5" s="25" t="s">
        <v>90</v>
      </c>
      <c r="E5" s="4">
        <f t="shared" si="0"/>
        <v>0</v>
      </c>
      <c r="F5" s="4">
        <f t="shared" si="1"/>
        <v>0</v>
      </c>
      <c r="G5" s="4">
        <f t="shared" si="2"/>
        <v>0</v>
      </c>
      <c r="H5" s="4">
        <f t="shared" si="3"/>
        <v>0</v>
      </c>
      <c r="I5" s="4">
        <f t="shared" si="4"/>
        <v>0</v>
      </c>
      <c r="J5" s="4">
        <f t="shared" si="5"/>
        <v>0</v>
      </c>
      <c r="K5" s="4">
        <f t="shared" si="6"/>
        <v>0</v>
      </c>
      <c r="L5" s="4">
        <f t="shared" si="7"/>
        <v>0</v>
      </c>
      <c r="M5" s="4">
        <f t="shared" si="8"/>
        <v>0</v>
      </c>
      <c r="N5" s="4">
        <f t="shared" si="9"/>
        <v>0</v>
      </c>
      <c r="O5" s="4">
        <f t="shared" si="10"/>
        <v>0</v>
      </c>
      <c r="P5" s="4">
        <f t="shared" si="11"/>
        <v>0</v>
      </c>
      <c r="Q5" s="4">
        <f t="shared" si="12"/>
        <v>0</v>
      </c>
      <c r="R5" s="4">
        <f t="shared" si="13"/>
        <v>0</v>
      </c>
      <c r="S5" s="4">
        <f t="shared" si="14"/>
        <v>0</v>
      </c>
      <c r="T5" s="4">
        <f t="shared" si="15"/>
        <v>0</v>
      </c>
      <c r="U5" s="4">
        <f t="shared" si="16"/>
        <v>0</v>
      </c>
      <c r="V5" s="4">
        <f t="shared" si="17"/>
        <v>0</v>
      </c>
      <c r="W5" s="4">
        <f t="shared" si="18"/>
        <v>0</v>
      </c>
      <c r="X5" s="4">
        <f t="shared" si="19"/>
        <v>0</v>
      </c>
      <c r="Y5" s="4">
        <f t="shared" si="20"/>
        <v>0</v>
      </c>
      <c r="Z5" s="4">
        <f t="shared" si="21"/>
        <v>0</v>
      </c>
      <c r="AA5" s="4">
        <f t="shared" si="22"/>
        <v>0</v>
      </c>
      <c r="AB5" s="4">
        <f t="shared" si="23"/>
        <v>0</v>
      </c>
      <c r="AC5" s="4">
        <f t="shared" si="24"/>
        <v>0</v>
      </c>
      <c r="AD5" s="4">
        <f t="shared" si="25"/>
        <v>0</v>
      </c>
      <c r="AE5" s="4">
        <f t="shared" si="26"/>
        <v>0</v>
      </c>
      <c r="AF5" s="4">
        <f t="shared" si="27"/>
        <v>0</v>
      </c>
      <c r="AG5" s="17">
        <f t="shared" si="28"/>
        <v>0</v>
      </c>
      <c r="AH5" s="4">
        <f t="shared" si="29"/>
        <v>0</v>
      </c>
      <c r="AI5" s="4">
        <f t="shared" si="30"/>
        <v>0</v>
      </c>
      <c r="AJ5" s="4">
        <f t="shared" si="31"/>
        <v>0</v>
      </c>
      <c r="AK5" s="4">
        <f t="shared" si="32"/>
        <v>0</v>
      </c>
      <c r="AL5" s="17">
        <f t="shared" si="33"/>
        <v>0</v>
      </c>
      <c r="AM5" s="18">
        <f t="shared" si="34"/>
        <v>0</v>
      </c>
    </row>
    <row r="6" spans="1:39" x14ac:dyDescent="0.2">
      <c r="A6" t="s">
        <v>91</v>
      </c>
      <c r="B6" s="23">
        <v>2500</v>
      </c>
      <c r="C6" s="24">
        <v>0.03</v>
      </c>
      <c r="D6" s="25" t="s">
        <v>92</v>
      </c>
      <c r="E6" s="4">
        <f t="shared" si="0"/>
        <v>2500</v>
      </c>
      <c r="F6" s="4">
        <f t="shared" si="1"/>
        <v>2575</v>
      </c>
      <c r="G6" s="4">
        <f t="shared" si="2"/>
        <v>2652.25</v>
      </c>
      <c r="H6" s="4">
        <f t="shared" si="3"/>
        <v>2731.8175000000001</v>
      </c>
      <c r="I6" s="4">
        <f t="shared" si="4"/>
        <v>2813.7720249999998</v>
      </c>
      <c r="J6" s="4">
        <f t="shared" si="5"/>
        <v>2898.1851857499996</v>
      </c>
      <c r="K6" s="4">
        <f t="shared" si="6"/>
        <v>2985.1307413224999</v>
      </c>
      <c r="L6" s="4">
        <f t="shared" si="7"/>
        <v>3074.684663562175</v>
      </c>
      <c r="M6" s="4">
        <f t="shared" si="8"/>
        <v>3166.9252034690398</v>
      </c>
      <c r="N6" s="4">
        <f t="shared" si="9"/>
        <v>3261.932959573111</v>
      </c>
      <c r="O6" s="4">
        <f t="shared" si="10"/>
        <v>3359.7909483603044</v>
      </c>
      <c r="P6" s="4">
        <f t="shared" si="11"/>
        <v>3460.5846768111137</v>
      </c>
      <c r="Q6" s="4">
        <f t="shared" si="12"/>
        <v>3564.4022171154465</v>
      </c>
      <c r="R6" s="4">
        <f t="shared" si="13"/>
        <v>3671.3342836289098</v>
      </c>
      <c r="S6" s="4">
        <f t="shared" si="14"/>
        <v>3781.4743121377774</v>
      </c>
      <c r="T6" s="4">
        <f t="shared" si="15"/>
        <v>3894.918541501911</v>
      </c>
      <c r="U6" s="4">
        <f t="shared" si="16"/>
        <v>4011.7660977469677</v>
      </c>
      <c r="V6" s="4">
        <f t="shared" si="17"/>
        <v>4132.1190806793766</v>
      </c>
      <c r="W6" s="4">
        <f t="shared" si="18"/>
        <v>4256.0826530997583</v>
      </c>
      <c r="X6" s="4">
        <f t="shared" si="19"/>
        <v>4383.7651326927507</v>
      </c>
      <c r="Y6" s="4">
        <f t="shared" si="20"/>
        <v>4515.2780866735329</v>
      </c>
      <c r="Z6" s="4">
        <f t="shared" si="21"/>
        <v>4650.7364292737384</v>
      </c>
      <c r="AA6" s="4">
        <f t="shared" si="22"/>
        <v>4790.2585221519512</v>
      </c>
      <c r="AB6" s="4">
        <f t="shared" si="23"/>
        <v>4933.9662778165102</v>
      </c>
      <c r="AC6" s="4">
        <f t="shared" si="24"/>
        <v>7727.25</v>
      </c>
      <c r="AD6" s="4">
        <f t="shared" si="25"/>
        <v>8443.7747107499999</v>
      </c>
      <c r="AE6" s="4">
        <f t="shared" si="26"/>
        <v>9226.7406083537153</v>
      </c>
      <c r="AF6" s="4">
        <f t="shared" si="27"/>
        <v>10082.308584744529</v>
      </c>
      <c r="AG6" s="17">
        <f t="shared" si="28"/>
        <v>35480.073903848242</v>
      </c>
      <c r="AH6" s="4">
        <f t="shared" si="29"/>
        <v>11017.210812882135</v>
      </c>
      <c r="AI6" s="4">
        <f t="shared" si="30"/>
        <v>12038.803719928255</v>
      </c>
      <c r="AJ6" s="4">
        <f t="shared" si="31"/>
        <v>13155.125872466044</v>
      </c>
      <c r="AK6" s="4">
        <f t="shared" si="32"/>
        <v>14374.961229242199</v>
      </c>
      <c r="AL6" s="17">
        <f t="shared" si="33"/>
        <v>50586.101634518636</v>
      </c>
      <c r="AM6" s="18">
        <f t="shared" si="34"/>
        <v>86066.175538366879</v>
      </c>
    </row>
    <row r="7" spans="1:39" x14ac:dyDescent="0.2">
      <c r="A7" t="s">
        <v>93</v>
      </c>
      <c r="B7" s="23"/>
      <c r="C7" s="24">
        <v>0.05</v>
      </c>
      <c r="D7" s="25" t="s">
        <v>94</v>
      </c>
      <c r="E7" s="4">
        <f t="shared" si="0"/>
        <v>0</v>
      </c>
      <c r="F7" s="4">
        <f t="shared" si="1"/>
        <v>0</v>
      </c>
      <c r="G7" s="4">
        <f t="shared" si="2"/>
        <v>0</v>
      </c>
      <c r="H7" s="4">
        <f t="shared" si="3"/>
        <v>0</v>
      </c>
      <c r="I7" s="4">
        <f t="shared" si="4"/>
        <v>0</v>
      </c>
      <c r="J7" s="4">
        <f t="shared" si="5"/>
        <v>0</v>
      </c>
      <c r="K7" s="4">
        <f t="shared" si="6"/>
        <v>0</v>
      </c>
      <c r="L7" s="4">
        <f t="shared" si="7"/>
        <v>0</v>
      </c>
      <c r="M7" s="4">
        <f t="shared" si="8"/>
        <v>0</v>
      </c>
      <c r="N7" s="4">
        <f t="shared" si="9"/>
        <v>0</v>
      </c>
      <c r="O7" s="4">
        <f t="shared" si="10"/>
        <v>0</v>
      </c>
      <c r="P7" s="4">
        <f t="shared" si="11"/>
        <v>0</v>
      </c>
      <c r="Q7" s="4">
        <f t="shared" si="12"/>
        <v>0</v>
      </c>
      <c r="R7" s="4">
        <f t="shared" si="13"/>
        <v>0</v>
      </c>
      <c r="S7" s="4">
        <f t="shared" si="14"/>
        <v>0</v>
      </c>
      <c r="T7" s="4">
        <f t="shared" si="15"/>
        <v>0</v>
      </c>
      <c r="U7" s="4">
        <f t="shared" si="16"/>
        <v>0</v>
      </c>
      <c r="V7" s="4">
        <f t="shared" si="17"/>
        <v>0</v>
      </c>
      <c r="W7" s="4">
        <f t="shared" si="18"/>
        <v>0</v>
      </c>
      <c r="X7" s="4">
        <f t="shared" si="19"/>
        <v>0</v>
      </c>
      <c r="Y7" s="4">
        <f t="shared" si="20"/>
        <v>0</v>
      </c>
      <c r="Z7" s="4">
        <f t="shared" si="21"/>
        <v>0</v>
      </c>
      <c r="AA7" s="4">
        <f t="shared" si="22"/>
        <v>0</v>
      </c>
      <c r="AB7" s="4">
        <f t="shared" si="23"/>
        <v>0</v>
      </c>
      <c r="AC7" s="4">
        <f t="shared" si="24"/>
        <v>0</v>
      </c>
      <c r="AD7" s="4">
        <f t="shared" si="25"/>
        <v>0</v>
      </c>
      <c r="AE7" s="4">
        <f t="shared" si="26"/>
        <v>0</v>
      </c>
      <c r="AF7" s="4">
        <f t="shared" si="27"/>
        <v>0</v>
      </c>
      <c r="AG7" s="17">
        <f t="shared" si="28"/>
        <v>0</v>
      </c>
      <c r="AH7" s="4">
        <f t="shared" si="29"/>
        <v>0</v>
      </c>
      <c r="AI7" s="4">
        <f t="shared" si="30"/>
        <v>0</v>
      </c>
      <c r="AJ7" s="4">
        <f t="shared" si="31"/>
        <v>0</v>
      </c>
      <c r="AK7" s="4">
        <f t="shared" si="32"/>
        <v>0</v>
      </c>
      <c r="AL7" s="17">
        <f t="shared" si="33"/>
        <v>0</v>
      </c>
      <c r="AM7" s="18">
        <f t="shared" si="34"/>
        <v>0</v>
      </c>
    </row>
    <row r="8" spans="1:39" x14ac:dyDescent="0.2">
      <c r="A8" t="s">
        <v>95</v>
      </c>
      <c r="B8" s="23"/>
      <c r="C8" s="24">
        <v>0.02</v>
      </c>
      <c r="D8" s="25" t="s">
        <v>96</v>
      </c>
      <c r="E8" s="4">
        <f t="shared" si="0"/>
        <v>0</v>
      </c>
      <c r="F8" s="4">
        <f t="shared" si="1"/>
        <v>0</v>
      </c>
      <c r="G8" s="4">
        <f t="shared" si="2"/>
        <v>0</v>
      </c>
      <c r="H8" s="4">
        <f t="shared" si="3"/>
        <v>0</v>
      </c>
      <c r="I8" s="4">
        <f t="shared" si="4"/>
        <v>0</v>
      </c>
      <c r="J8" s="4">
        <f t="shared" si="5"/>
        <v>0</v>
      </c>
      <c r="K8" s="4">
        <f t="shared" si="6"/>
        <v>0</v>
      </c>
      <c r="L8" s="4">
        <f t="shared" si="7"/>
        <v>0</v>
      </c>
      <c r="M8" s="4">
        <f t="shared" si="8"/>
        <v>0</v>
      </c>
      <c r="N8" s="4">
        <f t="shared" si="9"/>
        <v>0</v>
      </c>
      <c r="O8" s="4">
        <f t="shared" si="10"/>
        <v>0</v>
      </c>
      <c r="P8" s="4">
        <f t="shared" si="11"/>
        <v>0</v>
      </c>
      <c r="Q8" s="4">
        <f t="shared" si="12"/>
        <v>0</v>
      </c>
      <c r="R8" s="4">
        <f t="shared" si="13"/>
        <v>0</v>
      </c>
      <c r="S8" s="4">
        <f t="shared" si="14"/>
        <v>0</v>
      </c>
      <c r="T8" s="4">
        <f t="shared" si="15"/>
        <v>0</v>
      </c>
      <c r="U8" s="4">
        <f t="shared" si="16"/>
        <v>0</v>
      </c>
      <c r="V8" s="4">
        <f t="shared" si="17"/>
        <v>0</v>
      </c>
      <c r="W8" s="4">
        <f t="shared" si="18"/>
        <v>0</v>
      </c>
      <c r="X8" s="4">
        <f t="shared" si="19"/>
        <v>0</v>
      </c>
      <c r="Y8" s="4">
        <f t="shared" si="20"/>
        <v>0</v>
      </c>
      <c r="Z8" s="4">
        <f t="shared" si="21"/>
        <v>0</v>
      </c>
      <c r="AA8" s="4">
        <f t="shared" si="22"/>
        <v>0</v>
      </c>
      <c r="AB8" s="4">
        <f t="shared" si="23"/>
        <v>0</v>
      </c>
      <c r="AC8" s="4">
        <f t="shared" si="24"/>
        <v>0</v>
      </c>
      <c r="AD8" s="4">
        <f t="shared" si="25"/>
        <v>0</v>
      </c>
      <c r="AE8" s="4">
        <f t="shared" si="26"/>
        <v>0</v>
      </c>
      <c r="AF8" s="4">
        <f t="shared" si="27"/>
        <v>0</v>
      </c>
      <c r="AG8" s="17">
        <f t="shared" si="28"/>
        <v>0</v>
      </c>
      <c r="AH8" s="4">
        <f t="shared" si="29"/>
        <v>0</v>
      </c>
      <c r="AI8" s="4">
        <f t="shared" si="30"/>
        <v>0</v>
      </c>
      <c r="AJ8" s="4">
        <f t="shared" si="31"/>
        <v>0</v>
      </c>
      <c r="AK8" s="4">
        <f t="shared" si="32"/>
        <v>0</v>
      </c>
      <c r="AL8" s="17">
        <f t="shared" si="33"/>
        <v>0</v>
      </c>
      <c r="AM8" s="18">
        <f t="shared" si="34"/>
        <v>0</v>
      </c>
    </row>
    <row r="9" spans="1:39" x14ac:dyDescent="0.2">
      <c r="A9" t="s">
        <v>97</v>
      </c>
      <c r="B9" s="23"/>
      <c r="C9" s="24">
        <v>0.05</v>
      </c>
      <c r="D9" s="25" t="s">
        <v>98</v>
      </c>
      <c r="E9" s="4">
        <f t="shared" si="0"/>
        <v>0</v>
      </c>
      <c r="F9" s="4">
        <f t="shared" si="1"/>
        <v>0</v>
      </c>
      <c r="G9" s="4">
        <f t="shared" si="2"/>
        <v>0</v>
      </c>
      <c r="H9" s="4">
        <f t="shared" si="3"/>
        <v>0</v>
      </c>
      <c r="I9" s="4">
        <f t="shared" si="4"/>
        <v>0</v>
      </c>
      <c r="J9" s="4">
        <f t="shared" si="5"/>
        <v>0</v>
      </c>
      <c r="K9" s="4">
        <f t="shared" si="6"/>
        <v>0</v>
      </c>
      <c r="L9" s="4">
        <f t="shared" si="7"/>
        <v>0</v>
      </c>
      <c r="M9" s="4">
        <f t="shared" si="8"/>
        <v>0</v>
      </c>
      <c r="N9" s="4">
        <f t="shared" si="9"/>
        <v>0</v>
      </c>
      <c r="O9" s="4">
        <f t="shared" si="10"/>
        <v>0</v>
      </c>
      <c r="P9" s="4">
        <f t="shared" si="11"/>
        <v>0</v>
      </c>
      <c r="Q9" s="4">
        <f t="shared" si="12"/>
        <v>0</v>
      </c>
      <c r="R9" s="4">
        <f t="shared" si="13"/>
        <v>0</v>
      </c>
      <c r="S9" s="4">
        <f t="shared" si="14"/>
        <v>0</v>
      </c>
      <c r="T9" s="4">
        <f t="shared" si="15"/>
        <v>0</v>
      </c>
      <c r="U9" s="4">
        <f t="shared" si="16"/>
        <v>0</v>
      </c>
      <c r="V9" s="4">
        <f t="shared" si="17"/>
        <v>0</v>
      </c>
      <c r="W9" s="4">
        <f t="shared" si="18"/>
        <v>0</v>
      </c>
      <c r="X9" s="4">
        <f t="shared" si="19"/>
        <v>0</v>
      </c>
      <c r="Y9" s="4">
        <f t="shared" si="20"/>
        <v>0</v>
      </c>
      <c r="Z9" s="4">
        <f t="shared" si="21"/>
        <v>0</v>
      </c>
      <c r="AA9" s="4">
        <f t="shared" si="22"/>
        <v>0</v>
      </c>
      <c r="AB9" s="4">
        <f t="shared" si="23"/>
        <v>0</v>
      </c>
      <c r="AC9" s="4">
        <f t="shared" si="24"/>
        <v>0</v>
      </c>
      <c r="AD9" s="4">
        <f t="shared" si="25"/>
        <v>0</v>
      </c>
      <c r="AE9" s="4">
        <f t="shared" si="26"/>
        <v>0</v>
      </c>
      <c r="AF9" s="4">
        <f t="shared" si="27"/>
        <v>0</v>
      </c>
      <c r="AG9" s="17">
        <f t="shared" si="28"/>
        <v>0</v>
      </c>
      <c r="AH9" s="4">
        <f t="shared" si="29"/>
        <v>0</v>
      </c>
      <c r="AI9" s="4">
        <f t="shared" si="30"/>
        <v>0</v>
      </c>
      <c r="AJ9" s="4">
        <f t="shared" si="31"/>
        <v>0</v>
      </c>
      <c r="AK9" s="4">
        <f t="shared" si="32"/>
        <v>0</v>
      </c>
      <c r="AL9" s="17">
        <f t="shared" si="33"/>
        <v>0</v>
      </c>
      <c r="AM9" s="18">
        <f t="shared" si="34"/>
        <v>0</v>
      </c>
    </row>
    <row r="10" spans="1:39" x14ac:dyDescent="0.2">
      <c r="A10" t="s">
        <v>99</v>
      </c>
      <c r="B10" s="23">
        <v>1000</v>
      </c>
      <c r="C10" s="24">
        <v>0.05</v>
      </c>
      <c r="D10" s="25" t="s">
        <v>100</v>
      </c>
      <c r="E10" s="4">
        <f t="shared" si="0"/>
        <v>1000</v>
      </c>
      <c r="F10" s="4">
        <f t="shared" si="1"/>
        <v>1050</v>
      </c>
      <c r="G10" s="4">
        <f t="shared" si="2"/>
        <v>1102.5</v>
      </c>
      <c r="H10" s="4">
        <f t="shared" si="3"/>
        <v>1157.6250000000002</v>
      </c>
      <c r="I10" s="4">
        <f t="shared" si="4"/>
        <v>1215.5062499999999</v>
      </c>
      <c r="J10" s="4">
        <f t="shared" si="5"/>
        <v>1276.2815625000001</v>
      </c>
      <c r="K10" s="4">
        <f t="shared" si="6"/>
        <v>1340.095640625</v>
      </c>
      <c r="L10" s="4">
        <f t="shared" si="7"/>
        <v>1407.1004226562502</v>
      </c>
      <c r="M10" s="4">
        <f t="shared" si="8"/>
        <v>1477.4554437890627</v>
      </c>
      <c r="N10" s="4">
        <f t="shared" si="9"/>
        <v>1551.3282159785158</v>
      </c>
      <c r="O10" s="4">
        <f t="shared" si="10"/>
        <v>1628.8946267774415</v>
      </c>
      <c r="P10" s="4">
        <f t="shared" si="11"/>
        <v>1710.3393581163139</v>
      </c>
      <c r="Q10" s="4">
        <f t="shared" si="12"/>
        <v>1795.8563260221292</v>
      </c>
      <c r="R10" s="4">
        <f t="shared" si="13"/>
        <v>1885.649142323236</v>
      </c>
      <c r="S10" s="4">
        <f t="shared" si="14"/>
        <v>1979.9315994393974</v>
      </c>
      <c r="T10" s="4">
        <f t="shared" si="15"/>
        <v>2078.9281794113681</v>
      </c>
      <c r="U10" s="4">
        <f t="shared" si="16"/>
        <v>2182.8745883819361</v>
      </c>
      <c r="V10" s="4">
        <f t="shared" si="17"/>
        <v>2292.0183178010329</v>
      </c>
      <c r="W10" s="4">
        <f t="shared" si="18"/>
        <v>2406.6192336910849</v>
      </c>
      <c r="X10" s="4">
        <f t="shared" si="19"/>
        <v>2526.9501953756389</v>
      </c>
      <c r="Y10" s="4">
        <f t="shared" si="20"/>
        <v>2653.2977051444209</v>
      </c>
      <c r="Z10" s="4">
        <f t="shared" si="21"/>
        <v>2785.962590401642</v>
      </c>
      <c r="AA10" s="4">
        <f t="shared" si="22"/>
        <v>2925.2607199217236</v>
      </c>
      <c r="AB10" s="4">
        <f t="shared" si="23"/>
        <v>3071.5237559178104</v>
      </c>
      <c r="AC10" s="4">
        <f t="shared" si="24"/>
        <v>3152.5</v>
      </c>
      <c r="AD10" s="4">
        <f t="shared" si="25"/>
        <v>3649.4128125000007</v>
      </c>
      <c r="AE10" s="4">
        <f t="shared" si="26"/>
        <v>4224.6515070703126</v>
      </c>
      <c r="AF10" s="4">
        <f t="shared" si="27"/>
        <v>4890.5622008722712</v>
      </c>
      <c r="AG10" s="17">
        <f t="shared" si="28"/>
        <v>15917.126520442584</v>
      </c>
      <c r="AH10" s="4">
        <f t="shared" si="29"/>
        <v>5661.4370677847628</v>
      </c>
      <c r="AI10" s="4">
        <f t="shared" si="30"/>
        <v>6553.8210855943371</v>
      </c>
      <c r="AJ10" s="4">
        <f t="shared" si="31"/>
        <v>7586.8671342111447</v>
      </c>
      <c r="AK10" s="4">
        <f t="shared" si="32"/>
        <v>8782.7470662411761</v>
      </c>
      <c r="AL10" s="17">
        <f t="shared" si="33"/>
        <v>28584.872353831419</v>
      </c>
      <c r="AM10" s="18">
        <f t="shared" si="34"/>
        <v>44501.998874274002</v>
      </c>
    </row>
    <row r="11" spans="1:39" x14ac:dyDescent="0.2">
      <c r="A11" t="s">
        <v>101</v>
      </c>
      <c r="B11" s="23"/>
      <c r="C11" s="24">
        <v>0.03</v>
      </c>
      <c r="D11" s="25" t="s">
        <v>102</v>
      </c>
      <c r="E11" s="4">
        <f t="shared" si="0"/>
        <v>0</v>
      </c>
      <c r="F11" s="4">
        <f t="shared" si="1"/>
        <v>0</v>
      </c>
      <c r="G11" s="4">
        <f t="shared" si="2"/>
        <v>0</v>
      </c>
      <c r="H11" s="4">
        <f t="shared" si="3"/>
        <v>0</v>
      </c>
      <c r="I11" s="4">
        <f t="shared" si="4"/>
        <v>0</v>
      </c>
      <c r="J11" s="4">
        <f t="shared" si="5"/>
        <v>0</v>
      </c>
      <c r="K11" s="4">
        <f t="shared" si="6"/>
        <v>0</v>
      </c>
      <c r="L11" s="4">
        <f t="shared" si="7"/>
        <v>0</v>
      </c>
      <c r="M11" s="4">
        <f t="shared" si="8"/>
        <v>0</v>
      </c>
      <c r="N11" s="4">
        <f t="shared" si="9"/>
        <v>0</v>
      </c>
      <c r="O11" s="4">
        <f t="shared" si="10"/>
        <v>0</v>
      </c>
      <c r="P11" s="4">
        <f t="shared" si="11"/>
        <v>0</v>
      </c>
      <c r="Q11" s="4">
        <f t="shared" si="12"/>
        <v>0</v>
      </c>
      <c r="R11" s="4">
        <f t="shared" si="13"/>
        <v>0</v>
      </c>
      <c r="S11" s="4">
        <f t="shared" si="14"/>
        <v>0</v>
      </c>
      <c r="T11" s="4">
        <f t="shared" si="15"/>
        <v>0</v>
      </c>
      <c r="U11" s="4">
        <f t="shared" si="16"/>
        <v>0</v>
      </c>
      <c r="V11" s="4">
        <f t="shared" si="17"/>
        <v>0</v>
      </c>
      <c r="W11" s="4">
        <f t="shared" si="18"/>
        <v>0</v>
      </c>
      <c r="X11" s="4">
        <f t="shared" si="19"/>
        <v>0</v>
      </c>
      <c r="Y11" s="4">
        <f t="shared" si="20"/>
        <v>0</v>
      </c>
      <c r="Z11" s="4">
        <f t="shared" si="21"/>
        <v>0</v>
      </c>
      <c r="AA11" s="4">
        <f t="shared" si="22"/>
        <v>0</v>
      </c>
      <c r="AB11" s="4">
        <f t="shared" si="23"/>
        <v>0</v>
      </c>
      <c r="AC11" s="4">
        <f t="shared" si="24"/>
        <v>0</v>
      </c>
      <c r="AD11" s="4">
        <f t="shared" si="25"/>
        <v>0</v>
      </c>
      <c r="AE11" s="4">
        <f t="shared" si="26"/>
        <v>0</v>
      </c>
      <c r="AF11" s="4">
        <f t="shared" si="27"/>
        <v>0</v>
      </c>
      <c r="AG11" s="17">
        <f t="shared" si="28"/>
        <v>0</v>
      </c>
      <c r="AH11" s="4">
        <f t="shared" si="29"/>
        <v>0</v>
      </c>
      <c r="AI11" s="4">
        <f t="shared" si="30"/>
        <v>0</v>
      </c>
      <c r="AJ11" s="4">
        <f t="shared" si="31"/>
        <v>0</v>
      </c>
      <c r="AK11" s="4">
        <f t="shared" si="32"/>
        <v>0</v>
      </c>
      <c r="AL11" s="17">
        <f t="shared" si="33"/>
        <v>0</v>
      </c>
      <c r="AM11" s="18">
        <f t="shared" si="34"/>
        <v>0</v>
      </c>
    </row>
    <row r="12" spans="1:39" x14ac:dyDescent="0.2">
      <c r="A12" t="s">
        <v>103</v>
      </c>
      <c r="B12" s="23"/>
      <c r="C12" s="24">
        <v>0.02</v>
      </c>
      <c r="D12" s="25" t="s">
        <v>104</v>
      </c>
      <c r="E12" s="4">
        <f t="shared" si="0"/>
        <v>0</v>
      </c>
      <c r="F12" s="4">
        <f t="shared" si="1"/>
        <v>0</v>
      </c>
      <c r="G12" s="4">
        <f t="shared" si="2"/>
        <v>0</v>
      </c>
      <c r="H12" s="4">
        <f t="shared" si="3"/>
        <v>0</v>
      </c>
      <c r="I12" s="4">
        <f t="shared" si="4"/>
        <v>0</v>
      </c>
      <c r="J12" s="4">
        <f t="shared" si="5"/>
        <v>0</v>
      </c>
      <c r="K12" s="4">
        <f t="shared" si="6"/>
        <v>0</v>
      </c>
      <c r="L12" s="4">
        <f t="shared" si="7"/>
        <v>0</v>
      </c>
      <c r="M12" s="4">
        <f t="shared" si="8"/>
        <v>0</v>
      </c>
      <c r="N12" s="4">
        <f t="shared" si="9"/>
        <v>0</v>
      </c>
      <c r="O12" s="4">
        <f t="shared" si="10"/>
        <v>0</v>
      </c>
      <c r="P12" s="4">
        <f t="shared" si="11"/>
        <v>0</v>
      </c>
      <c r="Q12" s="4">
        <f t="shared" si="12"/>
        <v>0</v>
      </c>
      <c r="R12" s="4">
        <f t="shared" si="13"/>
        <v>0</v>
      </c>
      <c r="S12" s="4">
        <f t="shared" si="14"/>
        <v>0</v>
      </c>
      <c r="T12" s="4">
        <f t="shared" si="15"/>
        <v>0</v>
      </c>
      <c r="U12" s="4">
        <f t="shared" si="16"/>
        <v>0</v>
      </c>
      <c r="V12" s="4">
        <f t="shared" si="17"/>
        <v>0</v>
      </c>
      <c r="W12" s="4">
        <f t="shared" si="18"/>
        <v>0</v>
      </c>
      <c r="X12" s="4">
        <f t="shared" si="19"/>
        <v>0</v>
      </c>
      <c r="Y12" s="4">
        <f t="shared" si="20"/>
        <v>0</v>
      </c>
      <c r="Z12" s="4">
        <f t="shared" si="21"/>
        <v>0</v>
      </c>
      <c r="AA12" s="4">
        <f t="shared" si="22"/>
        <v>0</v>
      </c>
      <c r="AB12" s="4">
        <f t="shared" si="23"/>
        <v>0</v>
      </c>
      <c r="AC12" s="4">
        <f t="shared" si="24"/>
        <v>0</v>
      </c>
      <c r="AD12" s="4">
        <f t="shared" si="25"/>
        <v>0</v>
      </c>
      <c r="AE12" s="4">
        <f t="shared" si="26"/>
        <v>0</v>
      </c>
      <c r="AF12" s="4">
        <f t="shared" si="27"/>
        <v>0</v>
      </c>
      <c r="AG12" s="17">
        <f t="shared" si="28"/>
        <v>0</v>
      </c>
      <c r="AH12" s="4">
        <f t="shared" si="29"/>
        <v>0</v>
      </c>
      <c r="AI12" s="4">
        <f t="shared" si="30"/>
        <v>0</v>
      </c>
      <c r="AJ12" s="4">
        <f t="shared" si="31"/>
        <v>0</v>
      </c>
      <c r="AK12" s="4">
        <f t="shared" si="32"/>
        <v>0</v>
      </c>
      <c r="AL12" s="17">
        <f t="shared" si="33"/>
        <v>0</v>
      </c>
      <c r="AM12" s="18">
        <f t="shared" si="34"/>
        <v>0</v>
      </c>
    </row>
    <row r="13" spans="1:39" x14ac:dyDescent="0.2">
      <c r="A13" t="s">
        <v>105</v>
      </c>
      <c r="B13" s="23"/>
      <c r="C13" s="24">
        <v>0.02</v>
      </c>
      <c r="D13" s="25" t="s">
        <v>106</v>
      </c>
      <c r="E13" s="4">
        <f t="shared" si="0"/>
        <v>0</v>
      </c>
      <c r="F13" s="4">
        <f t="shared" si="1"/>
        <v>0</v>
      </c>
      <c r="G13" s="4">
        <f t="shared" si="2"/>
        <v>0</v>
      </c>
      <c r="H13" s="4">
        <f t="shared" si="3"/>
        <v>0</v>
      </c>
      <c r="I13" s="4">
        <f t="shared" si="4"/>
        <v>0</v>
      </c>
      <c r="J13" s="4">
        <f t="shared" si="5"/>
        <v>0</v>
      </c>
      <c r="K13" s="4">
        <f t="shared" si="6"/>
        <v>0</v>
      </c>
      <c r="L13" s="4">
        <f t="shared" si="7"/>
        <v>0</v>
      </c>
      <c r="M13" s="4">
        <f t="shared" si="8"/>
        <v>0</v>
      </c>
      <c r="N13" s="4">
        <f t="shared" si="9"/>
        <v>0</v>
      </c>
      <c r="O13" s="4">
        <f t="shared" si="10"/>
        <v>0</v>
      </c>
      <c r="P13" s="4">
        <f t="shared" si="11"/>
        <v>0</v>
      </c>
      <c r="Q13" s="4">
        <f t="shared" si="12"/>
        <v>0</v>
      </c>
      <c r="R13" s="4">
        <f t="shared" si="13"/>
        <v>0</v>
      </c>
      <c r="S13" s="4">
        <f t="shared" si="14"/>
        <v>0</v>
      </c>
      <c r="T13" s="4">
        <f t="shared" si="15"/>
        <v>0</v>
      </c>
      <c r="U13" s="4">
        <f t="shared" si="16"/>
        <v>0</v>
      </c>
      <c r="V13" s="4">
        <f t="shared" si="17"/>
        <v>0</v>
      </c>
      <c r="W13" s="4">
        <f t="shared" si="18"/>
        <v>0</v>
      </c>
      <c r="X13" s="4">
        <f t="shared" si="19"/>
        <v>0</v>
      </c>
      <c r="Y13" s="4">
        <f t="shared" si="20"/>
        <v>0</v>
      </c>
      <c r="Z13" s="4">
        <f t="shared" si="21"/>
        <v>0</v>
      </c>
      <c r="AA13" s="4">
        <f t="shared" si="22"/>
        <v>0</v>
      </c>
      <c r="AB13" s="4">
        <f t="shared" si="23"/>
        <v>0</v>
      </c>
      <c r="AC13" s="4">
        <f t="shared" si="24"/>
        <v>0</v>
      </c>
      <c r="AD13" s="4">
        <f t="shared" si="25"/>
        <v>0</v>
      </c>
      <c r="AE13" s="4">
        <f t="shared" si="26"/>
        <v>0</v>
      </c>
      <c r="AF13" s="4">
        <f t="shared" si="27"/>
        <v>0</v>
      </c>
      <c r="AG13" s="17">
        <f t="shared" si="28"/>
        <v>0</v>
      </c>
      <c r="AH13" s="4">
        <f t="shared" si="29"/>
        <v>0</v>
      </c>
      <c r="AI13" s="4">
        <f t="shared" si="30"/>
        <v>0</v>
      </c>
      <c r="AJ13" s="4">
        <f t="shared" si="31"/>
        <v>0</v>
      </c>
      <c r="AK13" s="4">
        <f t="shared" si="32"/>
        <v>0</v>
      </c>
      <c r="AL13" s="17">
        <f t="shared" si="33"/>
        <v>0</v>
      </c>
      <c r="AM13" s="18">
        <f t="shared" si="34"/>
        <v>0</v>
      </c>
    </row>
    <row r="14" spans="1:39" ht="16" x14ac:dyDescent="0.2">
      <c r="A14" s="5" t="s">
        <v>107</v>
      </c>
      <c r="E14" s="26">
        <f t="shared" ref="E14:AM14" si="35">SUM(E4:E13)</f>
        <v>8500</v>
      </c>
      <c r="F14" s="26">
        <f t="shared" si="35"/>
        <v>9125</v>
      </c>
      <c r="G14" s="26">
        <f t="shared" si="35"/>
        <v>9804.75</v>
      </c>
      <c r="H14" s="26">
        <f t="shared" si="35"/>
        <v>10544.442500000001</v>
      </c>
      <c r="I14" s="26">
        <f t="shared" si="35"/>
        <v>11349.778275000002</v>
      </c>
      <c r="J14" s="26">
        <f t="shared" si="35"/>
        <v>12227.016748250004</v>
      </c>
      <c r="K14" s="26">
        <f t="shared" si="35"/>
        <v>13183.031381947505</v>
      </c>
      <c r="L14" s="26">
        <f t="shared" si="35"/>
        <v>14225.370586218432</v>
      </c>
      <c r="M14" s="26">
        <f t="shared" si="35"/>
        <v>15362.324697258107</v>
      </c>
      <c r="N14" s="26">
        <f t="shared" si="35"/>
        <v>16602.999630551632</v>
      </c>
      <c r="O14" s="26">
        <f t="shared" si="35"/>
        <v>17957.397875637755</v>
      </c>
      <c r="P14" s="26">
        <f t="shared" si="35"/>
        <v>19436.507565477441</v>
      </c>
      <c r="Q14" s="26">
        <f t="shared" si="35"/>
        <v>21052.400426742588</v>
      </c>
      <c r="R14" s="26">
        <f t="shared" si="35"/>
        <v>22818.339497917659</v>
      </c>
      <c r="S14" s="26">
        <f t="shared" si="35"/>
        <v>24748.897590739245</v>
      </c>
      <c r="T14" s="26">
        <f t="shared" si="35"/>
        <v>26860.087567991552</v>
      </c>
      <c r="U14" s="26">
        <f t="shared" si="35"/>
        <v>29169.505617915009</v>
      </c>
      <c r="V14" s="26">
        <f t="shared" si="35"/>
        <v>31696.488823445128</v>
      </c>
      <c r="W14" s="26">
        <f t="shared" si="35"/>
        <v>34462.288454252033</v>
      </c>
      <c r="X14" s="26">
        <f t="shared" si="35"/>
        <v>37490.260552275708</v>
      </c>
      <c r="Y14" s="26">
        <f t="shared" si="35"/>
        <v>40806.075538445999</v>
      </c>
      <c r="Z14" s="26">
        <f t="shared" si="35"/>
        <v>44437.94874096624</v>
      </c>
      <c r="AA14" s="26">
        <f t="shared" si="35"/>
        <v>48416.893935493623</v>
      </c>
      <c r="AB14" s="26">
        <f t="shared" si="35"/>
        <v>52777.002196496265</v>
      </c>
      <c r="AC14" s="26">
        <f t="shared" si="35"/>
        <v>27429.75</v>
      </c>
      <c r="AD14" s="26">
        <f t="shared" si="35"/>
        <v>34121.237523250005</v>
      </c>
      <c r="AE14" s="26">
        <f t="shared" si="35"/>
        <v>42770.726665424037</v>
      </c>
      <c r="AF14" s="26">
        <f t="shared" si="35"/>
        <v>53996.905071666828</v>
      </c>
      <c r="AG14" s="26">
        <f t="shared" si="35"/>
        <v>158318.61926034087</v>
      </c>
      <c r="AH14" s="26">
        <f t="shared" si="35"/>
        <v>68619.637515399503</v>
      </c>
      <c r="AI14" s="26">
        <f t="shared" si="35"/>
        <v>87726.082009351681</v>
      </c>
      <c r="AJ14" s="26">
        <f t="shared" si="35"/>
        <v>112758.62454497375</v>
      </c>
      <c r="AK14" s="26">
        <f t="shared" si="35"/>
        <v>145631.84487295611</v>
      </c>
      <c r="AL14" s="26">
        <f t="shared" si="35"/>
        <v>414736.18894268107</v>
      </c>
      <c r="AM14" s="26">
        <f t="shared" si="35"/>
        <v>573054.80820302188</v>
      </c>
    </row>
    <row r="15" spans="1:39" x14ac:dyDescent="0.2">
      <c r="A15" s="6" t="s">
        <v>108</v>
      </c>
      <c r="E15" s="7">
        <f>E14</f>
        <v>8500</v>
      </c>
      <c r="F15" s="7">
        <f t="shared" ref="F15:AB15" si="36">E15+F14</f>
        <v>17625</v>
      </c>
      <c r="G15" s="7">
        <f t="shared" si="36"/>
        <v>27429.75</v>
      </c>
      <c r="H15" s="7">
        <f t="shared" si="36"/>
        <v>37974.192500000005</v>
      </c>
      <c r="I15" s="7">
        <f t="shared" si="36"/>
        <v>49323.970775000009</v>
      </c>
      <c r="J15" s="7">
        <f t="shared" si="36"/>
        <v>61550.987523250013</v>
      </c>
      <c r="K15" s="7">
        <f t="shared" si="36"/>
        <v>74734.018905197518</v>
      </c>
      <c r="L15" s="7">
        <f t="shared" si="36"/>
        <v>88959.389491415946</v>
      </c>
      <c r="M15" s="7">
        <f t="shared" si="36"/>
        <v>104321.71418867406</v>
      </c>
      <c r="N15" s="7">
        <f t="shared" si="36"/>
        <v>120924.7138192257</v>
      </c>
      <c r="O15" s="7">
        <f t="shared" si="36"/>
        <v>138882.11169486344</v>
      </c>
      <c r="P15" s="7">
        <f t="shared" si="36"/>
        <v>158318.61926034087</v>
      </c>
      <c r="Q15" s="7">
        <f t="shared" si="36"/>
        <v>179371.01968708346</v>
      </c>
      <c r="R15" s="7">
        <f t="shared" si="36"/>
        <v>202189.35918500111</v>
      </c>
      <c r="S15" s="7">
        <f t="shared" si="36"/>
        <v>226938.25677574036</v>
      </c>
      <c r="T15" s="7">
        <f t="shared" si="36"/>
        <v>253798.34434373191</v>
      </c>
      <c r="U15" s="7">
        <f t="shared" si="36"/>
        <v>282967.84996164689</v>
      </c>
      <c r="V15" s="7">
        <f t="shared" si="36"/>
        <v>314664.338785092</v>
      </c>
      <c r="W15" s="7">
        <f t="shared" si="36"/>
        <v>349126.62723934406</v>
      </c>
      <c r="X15" s="7">
        <f t="shared" si="36"/>
        <v>386616.88779161975</v>
      </c>
      <c r="Y15" s="7">
        <f t="shared" si="36"/>
        <v>427422.96333006577</v>
      </c>
      <c r="Z15" s="7">
        <f t="shared" si="36"/>
        <v>471860.91207103198</v>
      </c>
      <c r="AA15" s="7">
        <f t="shared" si="36"/>
        <v>520277.80600652558</v>
      </c>
      <c r="AB15" s="7">
        <f t="shared" si="36"/>
        <v>573054.80820302188</v>
      </c>
      <c r="AC15" s="7">
        <f>G15</f>
        <v>27429.75</v>
      </c>
      <c r="AD15" s="7">
        <f>J15</f>
        <v>61550.987523250013</v>
      </c>
      <c r="AE15" s="7">
        <f>M15</f>
        <v>104321.71418867406</v>
      </c>
      <c r="AF15" s="7">
        <f>P15</f>
        <v>158318.61926034087</v>
      </c>
      <c r="AG15" s="8">
        <f>AF15</f>
        <v>158318.61926034087</v>
      </c>
      <c r="AH15" s="7">
        <f>S15</f>
        <v>226938.25677574036</v>
      </c>
      <c r="AI15" s="7">
        <f>V15</f>
        <v>314664.338785092</v>
      </c>
      <c r="AJ15" s="7">
        <f>Y15</f>
        <v>427422.96333006577</v>
      </c>
      <c r="AK15" s="7">
        <f>AB15</f>
        <v>573054.80820302188</v>
      </c>
      <c r="AL15" s="8">
        <f>AK15</f>
        <v>573054.80820302188</v>
      </c>
      <c r="AM15" s="8">
        <f>AB15</f>
        <v>573054.80820302188</v>
      </c>
    </row>
  </sheetData>
  <pageMargins left="0.7" right="0.7" top="0.75" bottom="0.75" header="0.3" footer="0.3"/>
  <pageSetup orientation="portrait" horizontalDpi="4294967295" verticalDpi="429496729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N15"/>
  <sheetViews>
    <sheetView zoomScale="170" zoomScaleNormal="170" workbookViewId="0">
      <selection activeCell="B7" sqref="B7"/>
    </sheetView>
  </sheetViews>
  <sheetFormatPr baseColWidth="10" defaultColWidth="8.83203125" defaultRowHeight="15" outlineLevelCol="1" x14ac:dyDescent="0.2"/>
  <cols>
    <col min="1" max="1" width="27.6640625" customWidth="1"/>
    <col min="2" max="2" width="9.5" customWidth="1"/>
    <col min="3" max="3" width="8.5" customWidth="1"/>
    <col min="4" max="4" width="30.1640625" customWidth="1"/>
    <col min="5" max="16" width="11" customWidth="1"/>
    <col min="17" max="28" width="11" hidden="1" customWidth="1" outlineLevel="1" collapsed="1"/>
    <col min="29" max="29" width="11" customWidth="1" collapsed="1"/>
    <col min="30" max="33" width="11" customWidth="1"/>
    <col min="34" max="39" width="11" hidden="1" customWidth="1" outlineLevel="1"/>
    <col min="40" max="40" width="8.83203125" collapsed="1"/>
  </cols>
  <sheetData>
    <row r="1" spans="1:39" ht="19" x14ac:dyDescent="0.25">
      <c r="A1" s="9" t="s">
        <v>38</v>
      </c>
    </row>
    <row r="3" spans="1:39" ht="32" x14ac:dyDescent="0.2">
      <c r="A3" s="2" t="s">
        <v>83</v>
      </c>
      <c r="B3" s="2" t="s">
        <v>84</v>
      </c>
      <c r="C3" s="2" t="s">
        <v>85</v>
      </c>
      <c r="D3" s="2" t="s">
        <v>86</v>
      </c>
      <c r="E3" s="16" t="s">
        <v>1</v>
      </c>
      <c r="F3" s="16" t="s">
        <v>2</v>
      </c>
      <c r="G3" s="16" t="s">
        <v>3</v>
      </c>
      <c r="H3" s="16" t="s">
        <v>4</v>
      </c>
      <c r="I3" s="16" t="s">
        <v>5</v>
      </c>
      <c r="J3" s="16" t="s">
        <v>6</v>
      </c>
      <c r="K3" s="16" t="s">
        <v>7</v>
      </c>
      <c r="L3" s="16" t="s">
        <v>8</v>
      </c>
      <c r="M3" s="16" t="s">
        <v>9</v>
      </c>
      <c r="N3" s="16" t="s">
        <v>10</v>
      </c>
      <c r="O3" s="16" t="s">
        <v>11</v>
      </c>
      <c r="P3" s="16" t="s">
        <v>12</v>
      </c>
      <c r="Q3" s="16" t="s">
        <v>13</v>
      </c>
      <c r="R3" s="16" t="s">
        <v>14</v>
      </c>
      <c r="S3" s="16" t="s">
        <v>15</v>
      </c>
      <c r="T3" s="16" t="s">
        <v>16</v>
      </c>
      <c r="U3" s="16" t="s">
        <v>17</v>
      </c>
      <c r="V3" s="16" t="s">
        <v>18</v>
      </c>
      <c r="W3" s="16" t="s">
        <v>19</v>
      </c>
      <c r="X3" s="16" t="s">
        <v>20</v>
      </c>
      <c r="Y3" s="16" t="s">
        <v>21</v>
      </c>
      <c r="Z3" s="16" t="s">
        <v>22</v>
      </c>
      <c r="AA3" s="16" t="s">
        <v>23</v>
      </c>
      <c r="AB3" s="16" t="s">
        <v>24</v>
      </c>
      <c r="AC3" s="2" t="s">
        <v>25</v>
      </c>
      <c r="AD3" s="2" t="s">
        <v>26</v>
      </c>
      <c r="AE3" s="2" t="s">
        <v>27</v>
      </c>
      <c r="AF3" s="2" t="s">
        <v>28</v>
      </c>
      <c r="AG3" s="2" t="s">
        <v>29</v>
      </c>
      <c r="AH3" s="2" t="s">
        <v>30</v>
      </c>
      <c r="AI3" s="2" t="s">
        <v>31</v>
      </c>
      <c r="AJ3" s="2" t="s">
        <v>32</v>
      </c>
      <c r="AK3" s="2" t="s">
        <v>33</v>
      </c>
      <c r="AL3" s="2" t="s">
        <v>34</v>
      </c>
      <c r="AM3" s="2" t="s">
        <v>35</v>
      </c>
    </row>
    <row r="4" spans="1:39" x14ac:dyDescent="0.2">
      <c r="A4" t="s">
        <v>109</v>
      </c>
      <c r="B4" s="23">
        <v>5000</v>
      </c>
      <c r="C4" s="24">
        <v>0.03</v>
      </c>
      <c r="D4" s="25" t="s">
        <v>110</v>
      </c>
      <c r="E4" s="4">
        <f t="shared" ref="E4:E13" si="0">B4*POWER(1+C4,0)</f>
        <v>5000</v>
      </c>
      <c r="F4" s="4">
        <f t="shared" ref="F4:F13" si="1">B4*POWER(1+C4,1)</f>
        <v>5150</v>
      </c>
      <c r="G4" s="4">
        <f t="shared" ref="G4:G13" si="2">B4*POWER(1+C4,2)</f>
        <v>5304.5</v>
      </c>
      <c r="H4" s="4">
        <f t="shared" ref="H4:H13" si="3">B4*POWER(1+C4,3)</f>
        <v>5463.6350000000002</v>
      </c>
      <c r="I4" s="4">
        <f t="shared" ref="I4:I13" si="4">B4*POWER(1+C4,4)</f>
        <v>5627.5440499999995</v>
      </c>
      <c r="J4" s="4">
        <f t="shared" ref="J4:J13" si="5">B4*POWER(1+C4,5)</f>
        <v>5796.3703714999992</v>
      </c>
      <c r="K4" s="4">
        <f t="shared" ref="K4:K13" si="6">B4*POWER(1+C4,6)</f>
        <v>5970.2614826449999</v>
      </c>
      <c r="L4" s="4">
        <f t="shared" ref="L4:L13" si="7">B4*POWER(1+C4,7)</f>
        <v>6149.3693271243501</v>
      </c>
      <c r="M4" s="4">
        <f t="shared" ref="M4:M13" si="8">B4*POWER(1+C4,8)</f>
        <v>6333.8504069380797</v>
      </c>
      <c r="N4" s="4">
        <f t="shared" ref="N4:N13" si="9">B4*POWER(1+C4,9)</f>
        <v>6523.865919146222</v>
      </c>
      <c r="O4" s="4">
        <f t="shared" ref="O4:O13" si="10">B4*POWER(1+C4,10)</f>
        <v>6719.5818967206087</v>
      </c>
      <c r="P4" s="4">
        <f t="shared" ref="P4:P13" si="11">B4*POWER(1+C4,11)</f>
        <v>6921.1693536222274</v>
      </c>
      <c r="Q4" s="4">
        <f t="shared" ref="Q4:Q13" si="12">B4*POWER(1+C4,12)</f>
        <v>7128.8044342308931</v>
      </c>
      <c r="R4" s="4">
        <f t="shared" ref="R4:R13" si="13">B4*POWER(1+C4,13)</f>
        <v>7342.6685672578196</v>
      </c>
      <c r="S4" s="4">
        <f t="shared" ref="S4:S13" si="14">B4*POWER(1+C4,14)</f>
        <v>7562.9486242755547</v>
      </c>
      <c r="T4" s="4">
        <f t="shared" ref="T4:T13" si="15">B4*POWER(1+C4,15)</f>
        <v>7789.837083003822</v>
      </c>
      <c r="U4" s="4">
        <f t="shared" ref="U4:U13" si="16">B4*POWER(1+C4,16)</f>
        <v>8023.5321954939354</v>
      </c>
      <c r="V4" s="4">
        <f t="shared" ref="V4:V13" si="17">B4*POWER(1+C4,17)</f>
        <v>8264.2381613587531</v>
      </c>
      <c r="W4" s="4">
        <f t="shared" ref="W4:W13" si="18">B4*POWER(1+C4,18)</f>
        <v>8512.1653061995166</v>
      </c>
      <c r="X4" s="4">
        <f t="shared" ref="X4:X13" si="19">B4*POWER(1+C4,19)</f>
        <v>8767.5302653855015</v>
      </c>
      <c r="Y4" s="4">
        <f t="shared" ref="Y4:Y13" si="20">B4*POWER(1+C4,20)</f>
        <v>9030.5561733470659</v>
      </c>
      <c r="Z4" s="4">
        <f t="shared" ref="Z4:Z13" si="21">B4*POWER(1+C4,21)</f>
        <v>9301.4728585474768</v>
      </c>
      <c r="AA4" s="4">
        <f t="shared" ref="AA4:AA13" si="22">B4*POWER(1+C4,22)</f>
        <v>9580.5170443039024</v>
      </c>
      <c r="AB4" s="4">
        <f t="shared" ref="AB4:AB13" si="23">B4*POWER(1+C4,23)</f>
        <v>9867.9325556330205</v>
      </c>
      <c r="AC4" s="4">
        <f t="shared" ref="AC4:AC13" si="24">SUM(E4:G4)</f>
        <v>15454.5</v>
      </c>
      <c r="AD4" s="4">
        <f t="shared" ref="AD4:AD13" si="25">SUM(H4:J4)</f>
        <v>16887.5494215</v>
      </c>
      <c r="AE4" s="4">
        <f t="shared" ref="AE4:AE13" si="26">SUM(K4:M4)</f>
        <v>18453.481216707431</v>
      </c>
      <c r="AF4" s="4">
        <f t="shared" ref="AF4:AF13" si="27">SUM(N4:P4)</f>
        <v>20164.617169489058</v>
      </c>
      <c r="AG4" s="17">
        <f t="shared" ref="AG4:AG13" si="28">SUM(AC4:AF4)</f>
        <v>70960.147807696485</v>
      </c>
      <c r="AH4" s="4">
        <f t="shared" ref="AH4:AH13" si="29">SUM(Q4:S4)</f>
        <v>22034.421625764269</v>
      </c>
      <c r="AI4" s="4">
        <f t="shared" ref="AI4:AI13" si="30">SUM(T4:V4)</f>
        <v>24077.607439856511</v>
      </c>
      <c r="AJ4" s="4">
        <f t="shared" ref="AJ4:AJ13" si="31">SUM(W4:Y4)</f>
        <v>26310.251744932088</v>
      </c>
      <c r="AK4" s="4">
        <f t="shared" ref="AK4:AK13" si="32">SUM(Z4:AB4)</f>
        <v>28749.922458484398</v>
      </c>
      <c r="AL4" s="17">
        <f t="shared" ref="AL4:AL13" si="33">SUM(AH4:AK4)</f>
        <v>101172.20326903727</v>
      </c>
      <c r="AM4" s="18">
        <f t="shared" ref="AM4:AM13" si="34">AG4+AL4</f>
        <v>172132.35107673376</v>
      </c>
    </row>
    <row r="5" spans="1:39" x14ac:dyDescent="0.2">
      <c r="A5" t="s">
        <v>111</v>
      </c>
      <c r="B5" s="23">
        <v>3000</v>
      </c>
      <c r="C5" s="24">
        <v>0.15</v>
      </c>
      <c r="D5" s="25" t="s">
        <v>112</v>
      </c>
      <c r="E5" s="4">
        <f t="shared" si="0"/>
        <v>3000</v>
      </c>
      <c r="F5" s="4">
        <f t="shared" si="1"/>
        <v>3449.9999999999995</v>
      </c>
      <c r="G5" s="4">
        <f t="shared" si="2"/>
        <v>3967.4999999999995</v>
      </c>
      <c r="H5" s="4">
        <f t="shared" si="3"/>
        <v>4562.6249999999982</v>
      </c>
      <c r="I5" s="4">
        <f t="shared" si="4"/>
        <v>5247.0187499999984</v>
      </c>
      <c r="J5" s="4">
        <f t="shared" si="5"/>
        <v>6034.0715624999984</v>
      </c>
      <c r="K5" s="4">
        <f t="shared" si="6"/>
        <v>6939.1822968749975</v>
      </c>
      <c r="L5" s="4">
        <f t="shared" si="7"/>
        <v>7980.0596414062447</v>
      </c>
      <c r="M5" s="4">
        <f t="shared" si="8"/>
        <v>9177.068587617181</v>
      </c>
      <c r="N5" s="4">
        <f t="shared" si="9"/>
        <v>10553.628875759758</v>
      </c>
      <c r="O5" s="4">
        <f t="shared" si="10"/>
        <v>12136.67320712372</v>
      </c>
      <c r="P5" s="4">
        <f t="shared" si="11"/>
        <v>13957.174188192277</v>
      </c>
      <c r="Q5" s="4">
        <f t="shared" si="12"/>
        <v>16050.750316421116</v>
      </c>
      <c r="R5" s="4">
        <f t="shared" si="13"/>
        <v>18458.362863884286</v>
      </c>
      <c r="S5" s="4">
        <f t="shared" si="14"/>
        <v>21227.117293466927</v>
      </c>
      <c r="T5" s="4">
        <f t="shared" si="15"/>
        <v>24411.184887486957</v>
      </c>
      <c r="U5" s="4">
        <f t="shared" si="16"/>
        <v>28072.862620609998</v>
      </c>
      <c r="V5" s="4">
        <f t="shared" si="17"/>
        <v>32283.792013701495</v>
      </c>
      <c r="W5" s="4">
        <f t="shared" si="18"/>
        <v>37126.360815756714</v>
      </c>
      <c r="X5" s="4">
        <f t="shared" si="19"/>
        <v>42695.314938120217</v>
      </c>
      <c r="Y5" s="4">
        <f t="shared" si="20"/>
        <v>49099.612178838244</v>
      </c>
      <c r="Z5" s="4">
        <f t="shared" si="21"/>
        <v>56464.554005663987</v>
      </c>
      <c r="AA5" s="4">
        <f t="shared" si="22"/>
        <v>64934.237106513581</v>
      </c>
      <c r="AB5" s="4">
        <f t="shared" si="23"/>
        <v>74674.372672490601</v>
      </c>
      <c r="AC5" s="4">
        <f t="shared" si="24"/>
        <v>10417.5</v>
      </c>
      <c r="AD5" s="4">
        <f t="shared" si="25"/>
        <v>15843.715312499993</v>
      </c>
      <c r="AE5" s="4">
        <f t="shared" si="26"/>
        <v>24096.310525898421</v>
      </c>
      <c r="AF5" s="4">
        <f t="shared" si="27"/>
        <v>36647.476271075757</v>
      </c>
      <c r="AG5" s="17">
        <f t="shared" si="28"/>
        <v>87005.002109474182</v>
      </c>
      <c r="AH5" s="4">
        <f t="shared" si="29"/>
        <v>55736.230473772332</v>
      </c>
      <c r="AI5" s="4">
        <f t="shared" si="30"/>
        <v>84767.839521798451</v>
      </c>
      <c r="AJ5" s="4">
        <f t="shared" si="31"/>
        <v>128921.28793271517</v>
      </c>
      <c r="AK5" s="4">
        <f t="shared" si="32"/>
        <v>196073.16378466817</v>
      </c>
      <c r="AL5" s="17">
        <f t="shared" si="33"/>
        <v>465498.52171295416</v>
      </c>
      <c r="AM5" s="18">
        <f t="shared" si="34"/>
        <v>552503.52382242831</v>
      </c>
    </row>
    <row r="6" spans="1:39" x14ac:dyDescent="0.2">
      <c r="A6" t="s">
        <v>113</v>
      </c>
      <c r="B6" s="23">
        <v>1500</v>
      </c>
      <c r="C6" s="24">
        <v>0.05</v>
      </c>
      <c r="D6" s="25" t="s">
        <v>114</v>
      </c>
      <c r="E6" s="4">
        <f t="shared" si="0"/>
        <v>1500</v>
      </c>
      <c r="F6" s="4">
        <f t="shared" si="1"/>
        <v>1575</v>
      </c>
      <c r="G6" s="4">
        <f t="shared" si="2"/>
        <v>1653.75</v>
      </c>
      <c r="H6" s="4">
        <f t="shared" si="3"/>
        <v>1736.4375000000002</v>
      </c>
      <c r="I6" s="4">
        <f t="shared" si="4"/>
        <v>1823.2593750000001</v>
      </c>
      <c r="J6" s="4">
        <f t="shared" si="5"/>
        <v>1914.4223437500002</v>
      </c>
      <c r="K6" s="4">
        <f t="shared" si="6"/>
        <v>2010.1434609374999</v>
      </c>
      <c r="L6" s="4">
        <f t="shared" si="7"/>
        <v>2110.6506339843754</v>
      </c>
      <c r="M6" s="4">
        <f t="shared" si="8"/>
        <v>2216.1831656835939</v>
      </c>
      <c r="N6" s="4">
        <f t="shared" si="9"/>
        <v>2326.9923239677737</v>
      </c>
      <c r="O6" s="4">
        <f t="shared" si="10"/>
        <v>2443.3419401661622</v>
      </c>
      <c r="P6" s="4">
        <f t="shared" si="11"/>
        <v>2565.5090371744704</v>
      </c>
      <c r="Q6" s="4">
        <f t="shared" si="12"/>
        <v>2693.7844890331939</v>
      </c>
      <c r="R6" s="4">
        <f t="shared" si="13"/>
        <v>2828.4737134848542</v>
      </c>
      <c r="S6" s="4">
        <f t="shared" si="14"/>
        <v>2969.897399159096</v>
      </c>
      <c r="T6" s="4">
        <f t="shared" si="15"/>
        <v>3118.3922691170519</v>
      </c>
      <c r="U6" s="4">
        <f t="shared" si="16"/>
        <v>3274.3118825729039</v>
      </c>
      <c r="V6" s="4">
        <f t="shared" si="17"/>
        <v>3438.0274767015499</v>
      </c>
      <c r="W6" s="4">
        <f t="shared" si="18"/>
        <v>3609.9288505366271</v>
      </c>
      <c r="X6" s="4">
        <f t="shared" si="19"/>
        <v>3790.4252930634584</v>
      </c>
      <c r="Y6" s="4">
        <f t="shared" si="20"/>
        <v>3979.9465577166311</v>
      </c>
      <c r="Z6" s="4">
        <f t="shared" si="21"/>
        <v>4178.9438856024626</v>
      </c>
      <c r="AA6" s="4">
        <f t="shared" si="22"/>
        <v>4387.8910798825855</v>
      </c>
      <c r="AB6" s="4">
        <f t="shared" si="23"/>
        <v>4607.285633876716</v>
      </c>
      <c r="AC6" s="4">
        <f t="shared" si="24"/>
        <v>4728.75</v>
      </c>
      <c r="AD6" s="4">
        <f t="shared" si="25"/>
        <v>5474.119218750001</v>
      </c>
      <c r="AE6" s="4">
        <f t="shared" si="26"/>
        <v>6336.9772606054694</v>
      </c>
      <c r="AF6" s="4">
        <f t="shared" si="27"/>
        <v>7335.8433013084068</v>
      </c>
      <c r="AG6" s="17">
        <f t="shared" si="28"/>
        <v>23875.689780663877</v>
      </c>
      <c r="AH6" s="4">
        <f t="shared" si="29"/>
        <v>8492.1556016771447</v>
      </c>
      <c r="AI6" s="4">
        <f t="shared" si="30"/>
        <v>9830.7316283915061</v>
      </c>
      <c r="AJ6" s="4">
        <f t="shared" si="31"/>
        <v>11380.300701316715</v>
      </c>
      <c r="AK6" s="4">
        <f t="shared" si="32"/>
        <v>13174.120599361764</v>
      </c>
      <c r="AL6" s="17">
        <f t="shared" si="33"/>
        <v>42877.308530747126</v>
      </c>
      <c r="AM6" s="18">
        <f t="shared" si="34"/>
        <v>66752.998311411007</v>
      </c>
    </row>
    <row r="7" spans="1:39" x14ac:dyDescent="0.2">
      <c r="A7" t="s">
        <v>115</v>
      </c>
      <c r="B7" s="23">
        <v>0</v>
      </c>
      <c r="C7" s="24">
        <v>0.1</v>
      </c>
      <c r="D7" s="25" t="s">
        <v>116</v>
      </c>
      <c r="E7" s="4">
        <f t="shared" si="0"/>
        <v>0</v>
      </c>
      <c r="F7" s="4">
        <f t="shared" si="1"/>
        <v>0</v>
      </c>
      <c r="G7" s="4">
        <f t="shared" si="2"/>
        <v>0</v>
      </c>
      <c r="H7" s="4">
        <f t="shared" si="3"/>
        <v>0</v>
      </c>
      <c r="I7" s="4">
        <f t="shared" si="4"/>
        <v>0</v>
      </c>
      <c r="J7" s="4">
        <f t="shared" si="5"/>
        <v>0</v>
      </c>
      <c r="K7" s="4">
        <f t="shared" si="6"/>
        <v>0</v>
      </c>
      <c r="L7" s="4">
        <f t="shared" si="7"/>
        <v>0</v>
      </c>
      <c r="M7" s="4">
        <f t="shared" si="8"/>
        <v>0</v>
      </c>
      <c r="N7" s="4">
        <f t="shared" si="9"/>
        <v>0</v>
      </c>
      <c r="O7" s="4">
        <f t="shared" si="10"/>
        <v>0</v>
      </c>
      <c r="P7" s="4">
        <f t="shared" si="11"/>
        <v>0</v>
      </c>
      <c r="Q7" s="4">
        <f t="shared" si="12"/>
        <v>0</v>
      </c>
      <c r="R7" s="4">
        <f t="shared" si="13"/>
        <v>0</v>
      </c>
      <c r="S7" s="4">
        <f t="shared" si="14"/>
        <v>0</v>
      </c>
      <c r="T7" s="4">
        <f t="shared" si="15"/>
        <v>0</v>
      </c>
      <c r="U7" s="4">
        <f t="shared" si="16"/>
        <v>0</v>
      </c>
      <c r="V7" s="4">
        <f t="shared" si="17"/>
        <v>0</v>
      </c>
      <c r="W7" s="4">
        <f t="shared" si="18"/>
        <v>0</v>
      </c>
      <c r="X7" s="4">
        <f t="shared" si="19"/>
        <v>0</v>
      </c>
      <c r="Y7" s="4">
        <f t="shared" si="20"/>
        <v>0</v>
      </c>
      <c r="Z7" s="4">
        <f t="shared" si="21"/>
        <v>0</v>
      </c>
      <c r="AA7" s="4">
        <f t="shared" si="22"/>
        <v>0</v>
      </c>
      <c r="AB7" s="4">
        <f t="shared" si="23"/>
        <v>0</v>
      </c>
      <c r="AC7" s="4">
        <f t="shared" si="24"/>
        <v>0</v>
      </c>
      <c r="AD7" s="4">
        <f t="shared" si="25"/>
        <v>0</v>
      </c>
      <c r="AE7" s="4">
        <f t="shared" si="26"/>
        <v>0</v>
      </c>
      <c r="AF7" s="4">
        <f t="shared" si="27"/>
        <v>0</v>
      </c>
      <c r="AG7" s="17">
        <f t="shared" si="28"/>
        <v>0</v>
      </c>
      <c r="AH7" s="4">
        <f t="shared" si="29"/>
        <v>0</v>
      </c>
      <c r="AI7" s="4">
        <f t="shared" si="30"/>
        <v>0</v>
      </c>
      <c r="AJ7" s="4">
        <f t="shared" si="31"/>
        <v>0</v>
      </c>
      <c r="AK7" s="4">
        <f t="shared" si="32"/>
        <v>0</v>
      </c>
      <c r="AL7" s="17">
        <f t="shared" si="33"/>
        <v>0</v>
      </c>
      <c r="AM7" s="18">
        <f t="shared" si="34"/>
        <v>0</v>
      </c>
    </row>
    <row r="8" spans="1:39" ht="27" x14ac:dyDescent="0.2">
      <c r="A8" t="s">
        <v>117</v>
      </c>
      <c r="B8" s="23">
        <v>4000</v>
      </c>
      <c r="C8" s="24">
        <v>0.12</v>
      </c>
      <c r="D8" s="25" t="s">
        <v>118</v>
      </c>
      <c r="E8" s="4">
        <f t="shared" si="0"/>
        <v>4000</v>
      </c>
      <c r="F8" s="4">
        <f t="shared" si="1"/>
        <v>4480</v>
      </c>
      <c r="G8" s="4">
        <f t="shared" si="2"/>
        <v>5017.6000000000004</v>
      </c>
      <c r="H8" s="4">
        <f t="shared" si="3"/>
        <v>5619.7120000000014</v>
      </c>
      <c r="I8" s="4">
        <f t="shared" si="4"/>
        <v>6294.0774400000018</v>
      </c>
      <c r="J8" s="4">
        <f t="shared" si="5"/>
        <v>7049.366732800002</v>
      </c>
      <c r="K8" s="4">
        <f t="shared" si="6"/>
        <v>7895.2907407360035</v>
      </c>
      <c r="L8" s="4">
        <f t="shared" si="7"/>
        <v>8842.7256296243231</v>
      </c>
      <c r="M8" s="4">
        <f t="shared" si="8"/>
        <v>9903.8527051792444</v>
      </c>
      <c r="N8" s="4">
        <f t="shared" si="9"/>
        <v>11092.315029800753</v>
      </c>
      <c r="O8" s="4">
        <f t="shared" si="10"/>
        <v>12423.392833376845</v>
      </c>
      <c r="P8" s="4">
        <f t="shared" si="11"/>
        <v>13914.199973382068</v>
      </c>
      <c r="Q8" s="4">
        <f t="shared" si="12"/>
        <v>15583.903970187916</v>
      </c>
      <c r="R8" s="4">
        <f t="shared" si="13"/>
        <v>17453.972446610467</v>
      </c>
      <c r="S8" s="4">
        <f t="shared" si="14"/>
        <v>19548.449140203727</v>
      </c>
      <c r="T8" s="4">
        <f t="shared" si="15"/>
        <v>21894.263037028169</v>
      </c>
      <c r="U8" s="4">
        <f t="shared" si="16"/>
        <v>24521.574601471555</v>
      </c>
      <c r="V8" s="4">
        <f t="shared" si="17"/>
        <v>27464.163553648144</v>
      </c>
      <c r="W8" s="4">
        <f t="shared" si="18"/>
        <v>30759.863180085926</v>
      </c>
      <c r="X8" s="4">
        <f t="shared" si="19"/>
        <v>34451.046761696241</v>
      </c>
      <c r="Y8" s="4">
        <f t="shared" si="20"/>
        <v>38585.172373099791</v>
      </c>
      <c r="Z8" s="4">
        <f t="shared" si="21"/>
        <v>43215.393057871763</v>
      </c>
      <c r="AA8" s="4">
        <f t="shared" si="22"/>
        <v>48401.240224816385</v>
      </c>
      <c r="AB8" s="4">
        <f t="shared" si="23"/>
        <v>54209.389051794344</v>
      </c>
      <c r="AC8" s="4">
        <f t="shared" si="24"/>
        <v>13497.6</v>
      </c>
      <c r="AD8" s="4">
        <f t="shared" si="25"/>
        <v>18963.156172800005</v>
      </c>
      <c r="AE8" s="4">
        <f t="shared" si="26"/>
        <v>26641.869075539569</v>
      </c>
      <c r="AF8" s="4">
        <f t="shared" si="27"/>
        <v>37429.907836559665</v>
      </c>
      <c r="AG8" s="17">
        <f t="shared" si="28"/>
        <v>96532.533084899245</v>
      </c>
      <c r="AH8" s="4">
        <f t="shared" si="29"/>
        <v>52586.325557002114</v>
      </c>
      <c r="AI8" s="4">
        <f t="shared" si="30"/>
        <v>73880.001192147873</v>
      </c>
      <c r="AJ8" s="4">
        <f t="shared" si="31"/>
        <v>103796.08231488196</v>
      </c>
      <c r="AK8" s="4">
        <f t="shared" si="32"/>
        <v>145826.02233448249</v>
      </c>
      <c r="AL8" s="17">
        <f t="shared" si="33"/>
        <v>376088.43139851443</v>
      </c>
      <c r="AM8" s="18">
        <f t="shared" si="34"/>
        <v>472620.96448341367</v>
      </c>
    </row>
    <row r="9" spans="1:39" x14ac:dyDescent="0.2">
      <c r="A9" t="s">
        <v>119</v>
      </c>
      <c r="B9" s="23">
        <v>1000</v>
      </c>
      <c r="C9" s="24">
        <v>0.03</v>
      </c>
      <c r="D9" s="25" t="s">
        <v>120</v>
      </c>
      <c r="E9" s="4">
        <f t="shared" si="0"/>
        <v>1000</v>
      </c>
      <c r="F9" s="4">
        <f t="shared" si="1"/>
        <v>1030</v>
      </c>
      <c r="G9" s="4">
        <f t="shared" si="2"/>
        <v>1060.8999999999999</v>
      </c>
      <c r="H9" s="4">
        <f t="shared" si="3"/>
        <v>1092.7270000000001</v>
      </c>
      <c r="I9" s="4">
        <f t="shared" si="4"/>
        <v>1125.5088099999998</v>
      </c>
      <c r="J9" s="4">
        <f t="shared" si="5"/>
        <v>1159.2740742999999</v>
      </c>
      <c r="K9" s="4">
        <f t="shared" si="6"/>
        <v>1194.0522965289999</v>
      </c>
      <c r="L9" s="4">
        <f t="shared" si="7"/>
        <v>1229.87386542487</v>
      </c>
      <c r="M9" s="4">
        <f t="shared" si="8"/>
        <v>1266.7700813876158</v>
      </c>
      <c r="N9" s="4">
        <f t="shared" si="9"/>
        <v>1304.7731838292445</v>
      </c>
      <c r="O9" s="4">
        <f t="shared" si="10"/>
        <v>1343.9163793441219</v>
      </c>
      <c r="P9" s="4">
        <f t="shared" si="11"/>
        <v>1384.2338707244455</v>
      </c>
      <c r="Q9" s="4">
        <f t="shared" si="12"/>
        <v>1425.7608868461787</v>
      </c>
      <c r="R9" s="4">
        <f t="shared" si="13"/>
        <v>1468.5337134515639</v>
      </c>
      <c r="S9" s="4">
        <f t="shared" si="14"/>
        <v>1512.5897248551109</v>
      </c>
      <c r="T9" s="4">
        <f t="shared" si="15"/>
        <v>1557.9674166007644</v>
      </c>
      <c r="U9" s="4">
        <f t="shared" si="16"/>
        <v>1604.7064390987871</v>
      </c>
      <c r="V9" s="4">
        <f t="shared" si="17"/>
        <v>1652.8476322717506</v>
      </c>
      <c r="W9" s="4">
        <f t="shared" si="18"/>
        <v>1702.4330612399033</v>
      </c>
      <c r="X9" s="4">
        <f t="shared" si="19"/>
        <v>1753.5060530771002</v>
      </c>
      <c r="Y9" s="4">
        <f t="shared" si="20"/>
        <v>1806.1112346694133</v>
      </c>
      <c r="Z9" s="4">
        <f t="shared" si="21"/>
        <v>1860.2945717094954</v>
      </c>
      <c r="AA9" s="4">
        <f t="shared" si="22"/>
        <v>1916.1034088607805</v>
      </c>
      <c r="AB9" s="4">
        <f t="shared" si="23"/>
        <v>1973.5865111266039</v>
      </c>
      <c r="AC9" s="4">
        <f t="shared" si="24"/>
        <v>3090.8999999999996</v>
      </c>
      <c r="AD9" s="4">
        <f t="shared" si="25"/>
        <v>3377.5098843000001</v>
      </c>
      <c r="AE9" s="4">
        <f t="shared" si="26"/>
        <v>3690.696243341486</v>
      </c>
      <c r="AF9" s="4">
        <f t="shared" si="27"/>
        <v>4032.9234338978122</v>
      </c>
      <c r="AG9" s="17">
        <f t="shared" si="28"/>
        <v>14192.029561539297</v>
      </c>
      <c r="AH9" s="4">
        <f t="shared" si="29"/>
        <v>4406.8843251528533</v>
      </c>
      <c r="AI9" s="4">
        <f t="shared" si="30"/>
        <v>4815.5214879713021</v>
      </c>
      <c r="AJ9" s="4">
        <f t="shared" si="31"/>
        <v>5262.0503489864168</v>
      </c>
      <c r="AK9" s="4">
        <f t="shared" si="32"/>
        <v>5749.9844916968796</v>
      </c>
      <c r="AL9" s="17">
        <f t="shared" si="33"/>
        <v>20234.440653807451</v>
      </c>
      <c r="AM9" s="18">
        <f t="shared" si="34"/>
        <v>34426.470215346752</v>
      </c>
    </row>
    <row r="10" spans="1:39" x14ac:dyDescent="0.2">
      <c r="A10" t="s">
        <v>121</v>
      </c>
      <c r="B10" s="23"/>
      <c r="C10" s="24">
        <v>0.05</v>
      </c>
      <c r="D10" s="25" t="s">
        <v>122</v>
      </c>
      <c r="E10" s="4">
        <f t="shared" si="0"/>
        <v>0</v>
      </c>
      <c r="F10" s="4">
        <f t="shared" si="1"/>
        <v>0</v>
      </c>
      <c r="G10" s="4">
        <f t="shared" si="2"/>
        <v>0</v>
      </c>
      <c r="H10" s="4">
        <f t="shared" si="3"/>
        <v>0</v>
      </c>
      <c r="I10" s="4">
        <f t="shared" si="4"/>
        <v>0</v>
      </c>
      <c r="J10" s="4">
        <f t="shared" si="5"/>
        <v>0</v>
      </c>
      <c r="K10" s="4">
        <f t="shared" si="6"/>
        <v>0</v>
      </c>
      <c r="L10" s="4">
        <f t="shared" si="7"/>
        <v>0</v>
      </c>
      <c r="M10" s="4">
        <f t="shared" si="8"/>
        <v>0</v>
      </c>
      <c r="N10" s="4">
        <f t="shared" si="9"/>
        <v>0</v>
      </c>
      <c r="O10" s="4">
        <f t="shared" si="10"/>
        <v>0</v>
      </c>
      <c r="P10" s="4">
        <f t="shared" si="11"/>
        <v>0</v>
      </c>
      <c r="Q10" s="4">
        <f t="shared" si="12"/>
        <v>0</v>
      </c>
      <c r="R10" s="4">
        <f t="shared" si="13"/>
        <v>0</v>
      </c>
      <c r="S10" s="4">
        <f t="shared" si="14"/>
        <v>0</v>
      </c>
      <c r="T10" s="4">
        <f t="shared" si="15"/>
        <v>0</v>
      </c>
      <c r="U10" s="4">
        <f t="shared" si="16"/>
        <v>0</v>
      </c>
      <c r="V10" s="4">
        <f t="shared" si="17"/>
        <v>0</v>
      </c>
      <c r="W10" s="4">
        <f t="shared" si="18"/>
        <v>0</v>
      </c>
      <c r="X10" s="4">
        <f t="shared" si="19"/>
        <v>0</v>
      </c>
      <c r="Y10" s="4">
        <f t="shared" si="20"/>
        <v>0</v>
      </c>
      <c r="Z10" s="4">
        <f t="shared" si="21"/>
        <v>0</v>
      </c>
      <c r="AA10" s="4">
        <f t="shared" si="22"/>
        <v>0</v>
      </c>
      <c r="AB10" s="4">
        <f t="shared" si="23"/>
        <v>0</v>
      </c>
      <c r="AC10" s="4">
        <f t="shared" si="24"/>
        <v>0</v>
      </c>
      <c r="AD10" s="4">
        <f t="shared" si="25"/>
        <v>0</v>
      </c>
      <c r="AE10" s="4">
        <f t="shared" si="26"/>
        <v>0</v>
      </c>
      <c r="AF10" s="4">
        <f t="shared" si="27"/>
        <v>0</v>
      </c>
      <c r="AG10" s="17">
        <f t="shared" si="28"/>
        <v>0</v>
      </c>
      <c r="AH10" s="4">
        <f t="shared" si="29"/>
        <v>0</v>
      </c>
      <c r="AI10" s="4">
        <f t="shared" si="30"/>
        <v>0</v>
      </c>
      <c r="AJ10" s="4">
        <f t="shared" si="31"/>
        <v>0</v>
      </c>
      <c r="AK10" s="4">
        <f t="shared" si="32"/>
        <v>0</v>
      </c>
      <c r="AL10" s="17">
        <f t="shared" si="33"/>
        <v>0</v>
      </c>
      <c r="AM10" s="18">
        <f t="shared" si="34"/>
        <v>0</v>
      </c>
    </row>
    <row r="11" spans="1:39" x14ac:dyDescent="0.2">
      <c r="A11" t="s">
        <v>123</v>
      </c>
      <c r="B11" s="23">
        <v>1000</v>
      </c>
      <c r="C11" s="24">
        <v>0.08</v>
      </c>
      <c r="D11" s="25" t="s">
        <v>124</v>
      </c>
      <c r="E11" s="4">
        <f t="shared" si="0"/>
        <v>1000</v>
      </c>
      <c r="F11" s="4">
        <f t="shared" si="1"/>
        <v>1080</v>
      </c>
      <c r="G11" s="4">
        <f t="shared" si="2"/>
        <v>1166.4000000000001</v>
      </c>
      <c r="H11" s="4">
        <f t="shared" si="3"/>
        <v>1259.7120000000002</v>
      </c>
      <c r="I11" s="4">
        <f t="shared" si="4"/>
        <v>1360.4889600000004</v>
      </c>
      <c r="J11" s="4">
        <f t="shared" si="5"/>
        <v>1469.3280768000004</v>
      </c>
      <c r="K11" s="4">
        <f t="shared" si="6"/>
        <v>1586.8743229440006</v>
      </c>
      <c r="L11" s="4">
        <f t="shared" si="7"/>
        <v>1713.8242687795207</v>
      </c>
      <c r="M11" s="4">
        <f t="shared" si="8"/>
        <v>1850.9302102818824</v>
      </c>
      <c r="N11" s="4">
        <f t="shared" si="9"/>
        <v>1999.004627104433</v>
      </c>
      <c r="O11" s="4">
        <f t="shared" si="10"/>
        <v>2158.9249972727876</v>
      </c>
      <c r="P11" s="4">
        <f t="shared" si="11"/>
        <v>2331.6389970546106</v>
      </c>
      <c r="Q11" s="4">
        <f t="shared" si="12"/>
        <v>2518.1701168189797</v>
      </c>
      <c r="R11" s="4">
        <f t="shared" si="13"/>
        <v>2719.6237261644983</v>
      </c>
      <c r="S11" s="4">
        <f t="shared" si="14"/>
        <v>2937.1936242576585</v>
      </c>
      <c r="T11" s="4">
        <f t="shared" si="15"/>
        <v>3172.1691141982715</v>
      </c>
      <c r="U11" s="4">
        <f t="shared" si="16"/>
        <v>3425.9426433341332</v>
      </c>
      <c r="V11" s="4">
        <f t="shared" si="17"/>
        <v>3700.0180548008639</v>
      </c>
      <c r="W11" s="4">
        <f t="shared" si="18"/>
        <v>3996.0194991849335</v>
      </c>
      <c r="X11" s="4">
        <f t="shared" si="19"/>
        <v>4315.7010591197286</v>
      </c>
      <c r="Y11" s="4">
        <f t="shared" si="20"/>
        <v>4660.9571438493067</v>
      </c>
      <c r="Z11" s="4">
        <f t="shared" si="21"/>
        <v>5033.8337153572511</v>
      </c>
      <c r="AA11" s="4">
        <f t="shared" si="22"/>
        <v>5436.5404125858322</v>
      </c>
      <c r="AB11" s="4">
        <f t="shared" si="23"/>
        <v>5871.4636455926984</v>
      </c>
      <c r="AC11" s="4">
        <f t="shared" si="24"/>
        <v>3246.4</v>
      </c>
      <c r="AD11" s="4">
        <f t="shared" si="25"/>
        <v>4089.529036800001</v>
      </c>
      <c r="AE11" s="4">
        <f t="shared" si="26"/>
        <v>5151.6288020054035</v>
      </c>
      <c r="AF11" s="4">
        <f t="shared" si="27"/>
        <v>6489.5686214318312</v>
      </c>
      <c r="AG11" s="17">
        <f t="shared" si="28"/>
        <v>18977.126460237236</v>
      </c>
      <c r="AH11" s="4">
        <f t="shared" si="29"/>
        <v>8174.9874672411361</v>
      </c>
      <c r="AI11" s="4">
        <f t="shared" si="30"/>
        <v>10298.129812333267</v>
      </c>
      <c r="AJ11" s="4">
        <f t="shared" si="31"/>
        <v>12972.677702153967</v>
      </c>
      <c r="AK11" s="4">
        <f t="shared" si="32"/>
        <v>16341.837773535783</v>
      </c>
      <c r="AL11" s="17">
        <f t="shared" si="33"/>
        <v>47787.632755264152</v>
      </c>
      <c r="AM11" s="18">
        <f t="shared" si="34"/>
        <v>66764.759215501384</v>
      </c>
    </row>
    <row r="12" spans="1:39" x14ac:dyDescent="0.2">
      <c r="A12" t="s">
        <v>125</v>
      </c>
      <c r="B12" s="23">
        <v>4000</v>
      </c>
      <c r="C12" s="24">
        <v>0.1</v>
      </c>
      <c r="D12" s="25" t="s">
        <v>126</v>
      </c>
      <c r="E12" s="4">
        <f t="shared" si="0"/>
        <v>4000</v>
      </c>
      <c r="F12" s="4">
        <f t="shared" si="1"/>
        <v>4400</v>
      </c>
      <c r="G12" s="4">
        <f t="shared" si="2"/>
        <v>4840.0000000000009</v>
      </c>
      <c r="H12" s="4">
        <f t="shared" si="3"/>
        <v>5324.0000000000018</v>
      </c>
      <c r="I12" s="4">
        <f t="shared" si="4"/>
        <v>5856.4000000000015</v>
      </c>
      <c r="J12" s="4">
        <f t="shared" si="5"/>
        <v>6442.0400000000018</v>
      </c>
      <c r="K12" s="4">
        <f t="shared" si="6"/>
        <v>7086.2440000000033</v>
      </c>
      <c r="L12" s="4">
        <f t="shared" si="7"/>
        <v>7794.8684000000048</v>
      </c>
      <c r="M12" s="4">
        <f t="shared" si="8"/>
        <v>8574.3552400000044</v>
      </c>
      <c r="N12" s="4">
        <f t="shared" si="9"/>
        <v>9431.7907640000067</v>
      </c>
      <c r="O12" s="4">
        <f t="shared" si="10"/>
        <v>10374.969840400008</v>
      </c>
      <c r="P12" s="4">
        <f t="shared" si="11"/>
        <v>11412.466824440009</v>
      </c>
      <c r="Q12" s="4">
        <f t="shared" si="12"/>
        <v>12553.713506884011</v>
      </c>
      <c r="R12" s="4">
        <f t="shared" si="13"/>
        <v>13809.084857572412</v>
      </c>
      <c r="S12" s="4">
        <f t="shared" si="14"/>
        <v>15189.993343329656</v>
      </c>
      <c r="T12" s="4">
        <f t="shared" si="15"/>
        <v>16708.99267766262</v>
      </c>
      <c r="U12" s="4">
        <f t="shared" si="16"/>
        <v>18379.891945428884</v>
      </c>
      <c r="V12" s="4">
        <f t="shared" si="17"/>
        <v>20217.881139971774</v>
      </c>
      <c r="W12" s="4">
        <f t="shared" si="18"/>
        <v>22239.66925396895</v>
      </c>
      <c r="X12" s="4">
        <f t="shared" si="19"/>
        <v>24463.636179365854</v>
      </c>
      <c r="Y12" s="4">
        <f t="shared" si="20"/>
        <v>26909.999797302436</v>
      </c>
      <c r="Z12" s="4">
        <f t="shared" si="21"/>
        <v>29600.999777032685</v>
      </c>
      <c r="AA12" s="4">
        <f t="shared" si="22"/>
        <v>32561.099754735955</v>
      </c>
      <c r="AB12" s="4">
        <f t="shared" si="23"/>
        <v>35817.209730209557</v>
      </c>
      <c r="AC12" s="4">
        <f t="shared" si="24"/>
        <v>13240</v>
      </c>
      <c r="AD12" s="4">
        <f t="shared" si="25"/>
        <v>17622.440000000006</v>
      </c>
      <c r="AE12" s="4">
        <f t="shared" si="26"/>
        <v>23455.467640000013</v>
      </c>
      <c r="AF12" s="4">
        <f t="shared" si="27"/>
        <v>31219.227428840022</v>
      </c>
      <c r="AG12" s="17">
        <f t="shared" si="28"/>
        <v>85537.135068840042</v>
      </c>
      <c r="AH12" s="4">
        <f t="shared" si="29"/>
        <v>41552.791707786077</v>
      </c>
      <c r="AI12" s="4">
        <f t="shared" si="30"/>
        <v>55306.765763063282</v>
      </c>
      <c r="AJ12" s="4">
        <f t="shared" si="31"/>
        <v>73613.305230637241</v>
      </c>
      <c r="AK12" s="4">
        <f t="shared" si="32"/>
        <v>97979.309261978196</v>
      </c>
      <c r="AL12" s="17">
        <f t="shared" si="33"/>
        <v>268452.17196346482</v>
      </c>
      <c r="AM12" s="18">
        <f t="shared" si="34"/>
        <v>353989.30703230487</v>
      </c>
    </row>
    <row r="13" spans="1:39" x14ac:dyDescent="0.2">
      <c r="A13" t="s">
        <v>127</v>
      </c>
      <c r="B13" s="23">
        <v>5000</v>
      </c>
      <c r="C13" s="24">
        <v>0</v>
      </c>
      <c r="D13" s="25" t="s">
        <v>128</v>
      </c>
      <c r="E13" s="4">
        <f t="shared" si="0"/>
        <v>5000</v>
      </c>
      <c r="F13" s="4">
        <f t="shared" si="1"/>
        <v>5000</v>
      </c>
      <c r="G13" s="4">
        <f t="shared" si="2"/>
        <v>5000</v>
      </c>
      <c r="H13" s="4">
        <f t="shared" si="3"/>
        <v>5000</v>
      </c>
      <c r="I13" s="4">
        <f t="shared" si="4"/>
        <v>5000</v>
      </c>
      <c r="J13" s="4">
        <f t="shared" si="5"/>
        <v>5000</v>
      </c>
      <c r="K13" s="4">
        <f t="shared" si="6"/>
        <v>5000</v>
      </c>
      <c r="L13" s="4">
        <f t="shared" si="7"/>
        <v>5000</v>
      </c>
      <c r="M13" s="4">
        <f t="shared" si="8"/>
        <v>5000</v>
      </c>
      <c r="N13" s="4">
        <f t="shared" si="9"/>
        <v>5000</v>
      </c>
      <c r="O13" s="4">
        <f t="shared" si="10"/>
        <v>5000</v>
      </c>
      <c r="P13" s="4">
        <f t="shared" si="11"/>
        <v>5000</v>
      </c>
      <c r="Q13" s="4">
        <f t="shared" si="12"/>
        <v>5000</v>
      </c>
      <c r="R13" s="4">
        <f t="shared" si="13"/>
        <v>5000</v>
      </c>
      <c r="S13" s="4">
        <f t="shared" si="14"/>
        <v>5000</v>
      </c>
      <c r="T13" s="4">
        <f t="shared" si="15"/>
        <v>5000</v>
      </c>
      <c r="U13" s="4">
        <f t="shared" si="16"/>
        <v>5000</v>
      </c>
      <c r="V13" s="4">
        <f t="shared" si="17"/>
        <v>5000</v>
      </c>
      <c r="W13" s="4">
        <f t="shared" si="18"/>
        <v>5000</v>
      </c>
      <c r="X13" s="4">
        <f t="shared" si="19"/>
        <v>5000</v>
      </c>
      <c r="Y13" s="4">
        <f t="shared" si="20"/>
        <v>5000</v>
      </c>
      <c r="Z13" s="4">
        <f t="shared" si="21"/>
        <v>5000</v>
      </c>
      <c r="AA13" s="4">
        <f t="shared" si="22"/>
        <v>5000</v>
      </c>
      <c r="AB13" s="4">
        <f t="shared" si="23"/>
        <v>5000</v>
      </c>
      <c r="AC13" s="4">
        <f t="shared" si="24"/>
        <v>15000</v>
      </c>
      <c r="AD13" s="4">
        <f t="shared" si="25"/>
        <v>15000</v>
      </c>
      <c r="AE13" s="4">
        <f t="shared" si="26"/>
        <v>15000</v>
      </c>
      <c r="AF13" s="4">
        <f t="shared" si="27"/>
        <v>15000</v>
      </c>
      <c r="AG13" s="17">
        <f t="shared" si="28"/>
        <v>60000</v>
      </c>
      <c r="AH13" s="4">
        <f t="shared" si="29"/>
        <v>15000</v>
      </c>
      <c r="AI13" s="4">
        <f t="shared" si="30"/>
        <v>15000</v>
      </c>
      <c r="AJ13" s="4">
        <f t="shared" si="31"/>
        <v>15000</v>
      </c>
      <c r="AK13" s="4">
        <f t="shared" si="32"/>
        <v>15000</v>
      </c>
      <c r="AL13" s="17">
        <f t="shared" si="33"/>
        <v>60000</v>
      </c>
      <c r="AM13" s="18">
        <f t="shared" si="34"/>
        <v>120000</v>
      </c>
    </row>
    <row r="14" spans="1:39" ht="16" x14ac:dyDescent="0.2">
      <c r="A14" s="5" t="s">
        <v>54</v>
      </c>
      <c r="E14" s="26">
        <f t="shared" ref="E14:AM14" si="35">SUM(E4:E13)</f>
        <v>24500</v>
      </c>
      <c r="F14" s="26">
        <f t="shared" si="35"/>
        <v>26165</v>
      </c>
      <c r="G14" s="26">
        <f t="shared" si="35"/>
        <v>28010.65</v>
      </c>
      <c r="H14" s="26">
        <f t="shared" si="35"/>
        <v>30058.8485</v>
      </c>
      <c r="I14" s="26">
        <f t="shared" si="35"/>
        <v>32334.297384999998</v>
      </c>
      <c r="J14" s="26">
        <f t="shared" si="35"/>
        <v>34864.873161650001</v>
      </c>
      <c r="K14" s="26">
        <f t="shared" si="35"/>
        <v>37682.048600666501</v>
      </c>
      <c r="L14" s="26">
        <f t="shared" si="35"/>
        <v>40821.371766343691</v>
      </c>
      <c r="M14" s="26">
        <f t="shared" si="35"/>
        <v>44323.010397087601</v>
      </c>
      <c r="N14" s="26">
        <f t="shared" si="35"/>
        <v>48232.37072360819</v>
      </c>
      <c r="O14" s="26">
        <f t="shared" si="35"/>
        <v>52600.801094404247</v>
      </c>
      <c r="P14" s="26">
        <f t="shared" si="35"/>
        <v>57486.392244590112</v>
      </c>
      <c r="Q14" s="26">
        <f t="shared" si="35"/>
        <v>62954.887720422295</v>
      </c>
      <c r="R14" s="26">
        <f t="shared" si="35"/>
        <v>69080.719888425912</v>
      </c>
      <c r="S14" s="26">
        <f t="shared" si="35"/>
        <v>75948.189149547732</v>
      </c>
      <c r="T14" s="26">
        <f t="shared" si="35"/>
        <v>83652.806485097666</v>
      </c>
      <c r="U14" s="26">
        <f t="shared" si="35"/>
        <v>92302.822328010196</v>
      </c>
      <c r="V14" s="26">
        <f t="shared" si="35"/>
        <v>102020.96803245434</v>
      </c>
      <c r="W14" s="26">
        <f t="shared" si="35"/>
        <v>112946.43996697257</v>
      </c>
      <c r="X14" s="26">
        <f t="shared" si="35"/>
        <v>125237.16054982811</v>
      </c>
      <c r="Y14" s="26">
        <f t="shared" si="35"/>
        <v>139072.35545882289</v>
      </c>
      <c r="Z14" s="26">
        <f t="shared" si="35"/>
        <v>154655.49187178514</v>
      </c>
      <c r="AA14" s="26">
        <f t="shared" si="35"/>
        <v>172217.62903169901</v>
      </c>
      <c r="AB14" s="26">
        <f t="shared" si="35"/>
        <v>192021.23980072353</v>
      </c>
      <c r="AC14" s="26">
        <f t="shared" si="35"/>
        <v>78675.649999999994</v>
      </c>
      <c r="AD14" s="26">
        <f t="shared" si="35"/>
        <v>97258.019046650006</v>
      </c>
      <c r="AE14" s="26">
        <f t="shared" si="35"/>
        <v>122826.43076409781</v>
      </c>
      <c r="AF14" s="26">
        <f t="shared" si="35"/>
        <v>158319.56406260253</v>
      </c>
      <c r="AG14" s="26">
        <f t="shared" si="35"/>
        <v>457079.66387335036</v>
      </c>
      <c r="AH14" s="26">
        <f t="shared" si="35"/>
        <v>207983.79675839591</v>
      </c>
      <c r="AI14" s="26">
        <f t="shared" si="35"/>
        <v>277976.59684556222</v>
      </c>
      <c r="AJ14" s="26">
        <f t="shared" si="35"/>
        <v>377255.95597562357</v>
      </c>
      <c r="AK14" s="26">
        <f t="shared" si="35"/>
        <v>518894.36070420773</v>
      </c>
      <c r="AL14" s="26">
        <f t="shared" si="35"/>
        <v>1382110.7102837893</v>
      </c>
      <c r="AM14" s="26">
        <f t="shared" si="35"/>
        <v>1839190.3741571396</v>
      </c>
    </row>
    <row r="15" spans="1:39" x14ac:dyDescent="0.2">
      <c r="A15" s="6" t="s">
        <v>55</v>
      </c>
      <c r="E15" s="7">
        <f>E14</f>
        <v>24500</v>
      </c>
      <c r="F15" s="7">
        <f t="shared" ref="F15:AB15" si="36">E15+F14</f>
        <v>50665</v>
      </c>
      <c r="G15" s="7">
        <f t="shared" si="36"/>
        <v>78675.649999999994</v>
      </c>
      <c r="H15" s="7">
        <f t="shared" si="36"/>
        <v>108734.49849999999</v>
      </c>
      <c r="I15" s="7">
        <f t="shared" si="36"/>
        <v>141068.79588499997</v>
      </c>
      <c r="J15" s="7">
        <f t="shared" si="36"/>
        <v>175933.66904664997</v>
      </c>
      <c r="K15" s="7">
        <f t="shared" si="36"/>
        <v>213615.71764731646</v>
      </c>
      <c r="L15" s="7">
        <f t="shared" si="36"/>
        <v>254437.08941366014</v>
      </c>
      <c r="M15" s="7">
        <f t="shared" si="36"/>
        <v>298760.09981074772</v>
      </c>
      <c r="N15" s="7">
        <f t="shared" si="36"/>
        <v>346992.4705343559</v>
      </c>
      <c r="O15" s="7">
        <f t="shared" si="36"/>
        <v>399593.27162876015</v>
      </c>
      <c r="P15" s="7">
        <f t="shared" si="36"/>
        <v>457079.66387335025</v>
      </c>
      <c r="Q15" s="7">
        <f t="shared" si="36"/>
        <v>520034.55159377254</v>
      </c>
      <c r="R15" s="7">
        <f t="shared" si="36"/>
        <v>589115.2714821985</v>
      </c>
      <c r="S15" s="7">
        <f t="shared" si="36"/>
        <v>665063.46063174622</v>
      </c>
      <c r="T15" s="7">
        <f t="shared" si="36"/>
        <v>748716.26711684384</v>
      </c>
      <c r="U15" s="7">
        <f t="shared" si="36"/>
        <v>841019.08944485406</v>
      </c>
      <c r="V15" s="7">
        <f t="shared" si="36"/>
        <v>943040.05747730844</v>
      </c>
      <c r="W15" s="7">
        <f t="shared" si="36"/>
        <v>1055986.4974442809</v>
      </c>
      <c r="X15" s="7">
        <f t="shared" si="36"/>
        <v>1181223.657994109</v>
      </c>
      <c r="Y15" s="7">
        <f t="shared" si="36"/>
        <v>1320296.0134529318</v>
      </c>
      <c r="Z15" s="7">
        <f t="shared" si="36"/>
        <v>1474951.5053247169</v>
      </c>
      <c r="AA15" s="7">
        <f t="shared" si="36"/>
        <v>1647169.1343564158</v>
      </c>
      <c r="AB15" s="7">
        <f t="shared" si="36"/>
        <v>1839190.3741571393</v>
      </c>
      <c r="AC15" s="7">
        <f>G15</f>
        <v>78675.649999999994</v>
      </c>
      <c r="AD15" s="7">
        <f>J15</f>
        <v>175933.66904664997</v>
      </c>
      <c r="AE15" s="7">
        <f>M15</f>
        <v>298760.09981074772</v>
      </c>
      <c r="AF15" s="7">
        <f>P15</f>
        <v>457079.66387335025</v>
      </c>
      <c r="AG15" s="8">
        <f>AF15</f>
        <v>457079.66387335025</v>
      </c>
      <c r="AH15" s="7">
        <f>S15</f>
        <v>665063.46063174622</v>
      </c>
      <c r="AI15" s="7">
        <f>V15</f>
        <v>943040.05747730844</v>
      </c>
      <c r="AJ15" s="7">
        <f>Y15</f>
        <v>1320296.0134529318</v>
      </c>
      <c r="AK15" s="7">
        <f>AB15</f>
        <v>1839190.3741571393</v>
      </c>
      <c r="AL15" s="8">
        <f>AK15</f>
        <v>1839190.3741571393</v>
      </c>
      <c r="AM15" s="8">
        <f>AB15</f>
        <v>1839190.3741571393</v>
      </c>
    </row>
  </sheetData>
  <pageMargins left="0.7" right="0.7" top="0.75" bottom="0.75" header="0.3" footer="0.3"/>
  <pageSetup orientation="portrait" horizontalDpi="4294967295" verticalDpi="429496729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N11"/>
  <sheetViews>
    <sheetView zoomScale="200" zoomScaleNormal="200" workbookViewId="0">
      <selection activeCell="B4" sqref="B4:B9"/>
    </sheetView>
  </sheetViews>
  <sheetFormatPr baseColWidth="10" defaultColWidth="8.83203125" defaultRowHeight="15" outlineLevelCol="1" x14ac:dyDescent="0.2"/>
  <cols>
    <col min="1" max="1" width="31.83203125" customWidth="1"/>
    <col min="2" max="2" width="8.1640625" customWidth="1"/>
    <col min="3" max="3" width="7.33203125" customWidth="1"/>
    <col min="4" max="4" width="37.33203125" customWidth="1"/>
    <col min="5" max="16" width="11" customWidth="1"/>
    <col min="17" max="28" width="11" hidden="1" customWidth="1" outlineLevel="1" collapsed="1"/>
    <col min="29" max="29" width="11" customWidth="1" collapsed="1"/>
    <col min="30" max="33" width="11" customWidth="1"/>
    <col min="34" max="39" width="11" hidden="1" customWidth="1" outlineLevel="1"/>
    <col min="40" max="40" width="8.83203125" collapsed="1"/>
  </cols>
  <sheetData>
    <row r="1" spans="1:39" ht="19" x14ac:dyDescent="0.25">
      <c r="A1" s="9" t="s">
        <v>39</v>
      </c>
    </row>
    <row r="3" spans="1:39" ht="32" x14ac:dyDescent="0.2">
      <c r="A3" s="2" t="s">
        <v>83</v>
      </c>
      <c r="B3" s="2" t="s">
        <v>84</v>
      </c>
      <c r="C3" s="2" t="s">
        <v>85</v>
      </c>
      <c r="D3" s="2" t="s">
        <v>86</v>
      </c>
      <c r="E3" s="16" t="s">
        <v>1</v>
      </c>
      <c r="F3" s="16" t="s">
        <v>2</v>
      </c>
      <c r="G3" s="16" t="s">
        <v>3</v>
      </c>
      <c r="H3" s="16" t="s">
        <v>4</v>
      </c>
      <c r="I3" s="16" t="s">
        <v>5</v>
      </c>
      <c r="J3" s="16" t="s">
        <v>6</v>
      </c>
      <c r="K3" s="16" t="s">
        <v>7</v>
      </c>
      <c r="L3" s="16" t="s">
        <v>8</v>
      </c>
      <c r="M3" s="16" t="s">
        <v>9</v>
      </c>
      <c r="N3" s="16" t="s">
        <v>10</v>
      </c>
      <c r="O3" s="16" t="s">
        <v>11</v>
      </c>
      <c r="P3" s="16" t="s">
        <v>12</v>
      </c>
      <c r="Q3" s="16" t="s">
        <v>13</v>
      </c>
      <c r="R3" s="16" t="s">
        <v>14</v>
      </c>
      <c r="S3" s="16" t="s">
        <v>15</v>
      </c>
      <c r="T3" s="16" t="s">
        <v>16</v>
      </c>
      <c r="U3" s="16" t="s">
        <v>17</v>
      </c>
      <c r="V3" s="16" t="s">
        <v>18</v>
      </c>
      <c r="W3" s="16" t="s">
        <v>19</v>
      </c>
      <c r="X3" s="16" t="s">
        <v>20</v>
      </c>
      <c r="Y3" s="16" t="s">
        <v>21</v>
      </c>
      <c r="Z3" s="16" t="s">
        <v>22</v>
      </c>
      <c r="AA3" s="16" t="s">
        <v>23</v>
      </c>
      <c r="AB3" s="16" t="s">
        <v>24</v>
      </c>
      <c r="AC3" s="2" t="s">
        <v>25</v>
      </c>
      <c r="AD3" s="2" t="s">
        <v>26</v>
      </c>
      <c r="AE3" s="2" t="s">
        <v>27</v>
      </c>
      <c r="AF3" s="2" t="s">
        <v>28</v>
      </c>
      <c r="AG3" s="2" t="s">
        <v>29</v>
      </c>
      <c r="AH3" s="2" t="s">
        <v>30</v>
      </c>
      <c r="AI3" s="2" t="s">
        <v>31</v>
      </c>
      <c r="AJ3" s="2" t="s">
        <v>32</v>
      </c>
      <c r="AK3" s="2" t="s">
        <v>33</v>
      </c>
      <c r="AL3" s="2" t="s">
        <v>34</v>
      </c>
      <c r="AM3" s="2" t="s">
        <v>35</v>
      </c>
    </row>
    <row r="4" spans="1:39" x14ac:dyDescent="0.2">
      <c r="A4" t="s">
        <v>129</v>
      </c>
      <c r="B4" s="23"/>
      <c r="C4" s="24">
        <v>0.12</v>
      </c>
      <c r="D4" s="25" t="s">
        <v>130</v>
      </c>
      <c r="E4" s="4">
        <f t="shared" ref="E4:E9" si="0">B4*POWER(1+C4,0)</f>
        <v>0</v>
      </c>
      <c r="F4" s="4">
        <f t="shared" ref="F4:F9" si="1">B4*POWER(1+C4,1)</f>
        <v>0</v>
      </c>
      <c r="G4" s="4">
        <f t="shared" ref="G4:G9" si="2">B4*POWER(1+C4,2)</f>
        <v>0</v>
      </c>
      <c r="H4" s="4">
        <f t="shared" ref="H4:H9" si="3">B4*POWER(1+C4,3)</f>
        <v>0</v>
      </c>
      <c r="I4" s="4">
        <f t="shared" ref="I4:I9" si="4">B4*POWER(1+C4,4)</f>
        <v>0</v>
      </c>
      <c r="J4" s="4">
        <f t="shared" ref="J4:J9" si="5">B4*POWER(1+C4,5)</f>
        <v>0</v>
      </c>
      <c r="K4" s="4">
        <f t="shared" ref="K4:K9" si="6">B4*POWER(1+C4,6)</f>
        <v>0</v>
      </c>
      <c r="L4" s="4">
        <f t="shared" ref="L4:L9" si="7">B4*POWER(1+C4,7)</f>
        <v>0</v>
      </c>
      <c r="M4" s="4">
        <f t="shared" ref="M4:M9" si="8">B4*POWER(1+C4,8)</f>
        <v>0</v>
      </c>
      <c r="N4" s="4">
        <f t="shared" ref="N4:N9" si="9">B4*POWER(1+C4,9)</f>
        <v>0</v>
      </c>
      <c r="O4" s="4">
        <f t="shared" ref="O4:O9" si="10">B4*POWER(1+C4,10)</f>
        <v>0</v>
      </c>
      <c r="P4" s="4">
        <f t="shared" ref="P4:P9" si="11">B4*POWER(1+C4,11)</f>
        <v>0</v>
      </c>
      <c r="Q4" s="4">
        <f t="shared" ref="Q4:Q9" si="12">B4*POWER(1+C4,12)</f>
        <v>0</v>
      </c>
      <c r="R4" s="4">
        <f t="shared" ref="R4:R9" si="13">B4*POWER(1+C4,13)</f>
        <v>0</v>
      </c>
      <c r="S4" s="4">
        <f t="shared" ref="S4:S9" si="14">B4*POWER(1+C4,14)</f>
        <v>0</v>
      </c>
      <c r="T4" s="4">
        <f t="shared" ref="T4:T9" si="15">B4*POWER(1+C4,15)</f>
        <v>0</v>
      </c>
      <c r="U4" s="4">
        <f t="shared" ref="U4:U9" si="16">B4*POWER(1+C4,16)</f>
        <v>0</v>
      </c>
      <c r="V4" s="4">
        <f t="shared" ref="V4:V9" si="17">B4*POWER(1+C4,17)</f>
        <v>0</v>
      </c>
      <c r="W4" s="4">
        <f t="shared" ref="W4:W9" si="18">B4*POWER(1+C4,18)</f>
        <v>0</v>
      </c>
      <c r="X4" s="4">
        <f t="shared" ref="X4:X9" si="19">B4*POWER(1+C4,19)</f>
        <v>0</v>
      </c>
      <c r="Y4" s="4">
        <f t="shared" ref="Y4:Y9" si="20">B4*POWER(1+C4,20)</f>
        <v>0</v>
      </c>
      <c r="Z4" s="4">
        <f t="shared" ref="Z4:Z9" si="21">B4*POWER(1+C4,21)</f>
        <v>0</v>
      </c>
      <c r="AA4" s="4">
        <f t="shared" ref="AA4:AA9" si="22">B4*POWER(1+C4,22)</f>
        <v>0</v>
      </c>
      <c r="AB4" s="4">
        <f t="shared" ref="AB4:AB9" si="23">B4*POWER(1+C4,23)</f>
        <v>0</v>
      </c>
      <c r="AC4" s="4">
        <f t="shared" ref="AC4:AC9" si="24">SUM(E4:G4)</f>
        <v>0</v>
      </c>
      <c r="AD4" s="4">
        <f t="shared" ref="AD4:AD9" si="25">SUM(H4:J4)</f>
        <v>0</v>
      </c>
      <c r="AE4" s="4">
        <f t="shared" ref="AE4:AE9" si="26">SUM(K4:M4)</f>
        <v>0</v>
      </c>
      <c r="AF4" s="4">
        <f t="shared" ref="AF4:AF9" si="27">SUM(N4:P4)</f>
        <v>0</v>
      </c>
      <c r="AG4" s="17">
        <f t="shared" ref="AG4:AG9" si="28">SUM(AC4:AF4)</f>
        <v>0</v>
      </c>
      <c r="AH4" s="4">
        <f t="shared" ref="AH4:AH9" si="29">SUM(Q4:S4)</f>
        <v>0</v>
      </c>
      <c r="AI4" s="4">
        <f t="shared" ref="AI4:AI9" si="30">SUM(T4:V4)</f>
        <v>0</v>
      </c>
      <c r="AJ4" s="4">
        <f t="shared" ref="AJ4:AJ9" si="31">SUM(W4:Y4)</f>
        <v>0</v>
      </c>
      <c r="AK4" s="4">
        <f t="shared" ref="AK4:AK9" si="32">SUM(Z4:AB4)</f>
        <v>0</v>
      </c>
      <c r="AL4" s="17">
        <f t="shared" ref="AL4:AL9" si="33">SUM(AH4:AK4)</f>
        <v>0</v>
      </c>
      <c r="AM4" s="18">
        <f t="shared" ref="AM4:AM9" si="34">AG4+AL4</f>
        <v>0</v>
      </c>
    </row>
    <row r="5" spans="1:39" x14ac:dyDescent="0.2">
      <c r="A5" t="s">
        <v>131</v>
      </c>
      <c r="B5" s="23"/>
      <c r="C5" s="24">
        <v>0.03</v>
      </c>
      <c r="D5" s="25" t="s">
        <v>132</v>
      </c>
      <c r="E5" s="4">
        <f t="shared" si="0"/>
        <v>0</v>
      </c>
      <c r="F5" s="4">
        <f t="shared" si="1"/>
        <v>0</v>
      </c>
      <c r="G5" s="4">
        <f t="shared" si="2"/>
        <v>0</v>
      </c>
      <c r="H5" s="4">
        <f t="shared" si="3"/>
        <v>0</v>
      </c>
      <c r="I5" s="4">
        <f t="shared" si="4"/>
        <v>0</v>
      </c>
      <c r="J5" s="4">
        <f t="shared" si="5"/>
        <v>0</v>
      </c>
      <c r="K5" s="4">
        <f t="shared" si="6"/>
        <v>0</v>
      </c>
      <c r="L5" s="4">
        <f t="shared" si="7"/>
        <v>0</v>
      </c>
      <c r="M5" s="4">
        <f t="shared" si="8"/>
        <v>0</v>
      </c>
      <c r="N5" s="4">
        <f t="shared" si="9"/>
        <v>0</v>
      </c>
      <c r="O5" s="4">
        <f t="shared" si="10"/>
        <v>0</v>
      </c>
      <c r="P5" s="4">
        <f t="shared" si="11"/>
        <v>0</v>
      </c>
      <c r="Q5" s="4">
        <f t="shared" si="12"/>
        <v>0</v>
      </c>
      <c r="R5" s="4">
        <f t="shared" si="13"/>
        <v>0</v>
      </c>
      <c r="S5" s="4">
        <f t="shared" si="14"/>
        <v>0</v>
      </c>
      <c r="T5" s="4">
        <f t="shared" si="15"/>
        <v>0</v>
      </c>
      <c r="U5" s="4">
        <f t="shared" si="16"/>
        <v>0</v>
      </c>
      <c r="V5" s="4">
        <f t="shared" si="17"/>
        <v>0</v>
      </c>
      <c r="W5" s="4">
        <f t="shared" si="18"/>
        <v>0</v>
      </c>
      <c r="X5" s="4">
        <f t="shared" si="19"/>
        <v>0</v>
      </c>
      <c r="Y5" s="4">
        <f t="shared" si="20"/>
        <v>0</v>
      </c>
      <c r="Z5" s="4">
        <f t="shared" si="21"/>
        <v>0</v>
      </c>
      <c r="AA5" s="4">
        <f t="shared" si="22"/>
        <v>0</v>
      </c>
      <c r="AB5" s="4">
        <f t="shared" si="23"/>
        <v>0</v>
      </c>
      <c r="AC5" s="4">
        <f t="shared" si="24"/>
        <v>0</v>
      </c>
      <c r="AD5" s="4">
        <f t="shared" si="25"/>
        <v>0</v>
      </c>
      <c r="AE5" s="4">
        <f t="shared" si="26"/>
        <v>0</v>
      </c>
      <c r="AF5" s="4">
        <f t="shared" si="27"/>
        <v>0</v>
      </c>
      <c r="AG5" s="17">
        <f t="shared" si="28"/>
        <v>0</v>
      </c>
      <c r="AH5" s="4">
        <f t="shared" si="29"/>
        <v>0</v>
      </c>
      <c r="AI5" s="4">
        <f t="shared" si="30"/>
        <v>0</v>
      </c>
      <c r="AJ5" s="4">
        <f t="shared" si="31"/>
        <v>0</v>
      </c>
      <c r="AK5" s="4">
        <f t="shared" si="32"/>
        <v>0</v>
      </c>
      <c r="AL5" s="17">
        <f t="shared" si="33"/>
        <v>0</v>
      </c>
      <c r="AM5" s="18">
        <f t="shared" si="34"/>
        <v>0</v>
      </c>
    </row>
    <row r="6" spans="1:39" x14ac:dyDescent="0.2">
      <c r="A6" t="s">
        <v>133</v>
      </c>
      <c r="B6" s="23"/>
      <c r="C6" s="24">
        <v>0.08</v>
      </c>
      <c r="D6" s="25" t="s">
        <v>134</v>
      </c>
      <c r="E6" s="4">
        <f t="shared" si="0"/>
        <v>0</v>
      </c>
      <c r="F6" s="4">
        <f t="shared" si="1"/>
        <v>0</v>
      </c>
      <c r="G6" s="4">
        <f t="shared" si="2"/>
        <v>0</v>
      </c>
      <c r="H6" s="4">
        <f t="shared" si="3"/>
        <v>0</v>
      </c>
      <c r="I6" s="4">
        <f t="shared" si="4"/>
        <v>0</v>
      </c>
      <c r="J6" s="4">
        <f t="shared" si="5"/>
        <v>0</v>
      </c>
      <c r="K6" s="4">
        <f t="shared" si="6"/>
        <v>0</v>
      </c>
      <c r="L6" s="4">
        <f t="shared" si="7"/>
        <v>0</v>
      </c>
      <c r="M6" s="4">
        <f t="shared" si="8"/>
        <v>0</v>
      </c>
      <c r="N6" s="4">
        <f t="shared" si="9"/>
        <v>0</v>
      </c>
      <c r="O6" s="4">
        <f t="shared" si="10"/>
        <v>0</v>
      </c>
      <c r="P6" s="4">
        <f t="shared" si="11"/>
        <v>0</v>
      </c>
      <c r="Q6" s="4">
        <f t="shared" si="12"/>
        <v>0</v>
      </c>
      <c r="R6" s="4">
        <f t="shared" si="13"/>
        <v>0</v>
      </c>
      <c r="S6" s="4">
        <f t="shared" si="14"/>
        <v>0</v>
      </c>
      <c r="T6" s="4">
        <f t="shared" si="15"/>
        <v>0</v>
      </c>
      <c r="U6" s="4">
        <f t="shared" si="16"/>
        <v>0</v>
      </c>
      <c r="V6" s="4">
        <f t="shared" si="17"/>
        <v>0</v>
      </c>
      <c r="W6" s="4">
        <f t="shared" si="18"/>
        <v>0</v>
      </c>
      <c r="X6" s="4">
        <f t="shared" si="19"/>
        <v>0</v>
      </c>
      <c r="Y6" s="4">
        <f t="shared" si="20"/>
        <v>0</v>
      </c>
      <c r="Z6" s="4">
        <f t="shared" si="21"/>
        <v>0</v>
      </c>
      <c r="AA6" s="4">
        <f t="shared" si="22"/>
        <v>0</v>
      </c>
      <c r="AB6" s="4">
        <f t="shared" si="23"/>
        <v>0</v>
      </c>
      <c r="AC6" s="4">
        <f t="shared" si="24"/>
        <v>0</v>
      </c>
      <c r="AD6" s="4">
        <f t="shared" si="25"/>
        <v>0</v>
      </c>
      <c r="AE6" s="4">
        <f t="shared" si="26"/>
        <v>0</v>
      </c>
      <c r="AF6" s="4">
        <f t="shared" si="27"/>
        <v>0</v>
      </c>
      <c r="AG6" s="17">
        <f t="shared" si="28"/>
        <v>0</v>
      </c>
      <c r="AH6" s="4">
        <f t="shared" si="29"/>
        <v>0</v>
      </c>
      <c r="AI6" s="4">
        <f t="shared" si="30"/>
        <v>0</v>
      </c>
      <c r="AJ6" s="4">
        <f t="shared" si="31"/>
        <v>0</v>
      </c>
      <c r="AK6" s="4">
        <f t="shared" si="32"/>
        <v>0</v>
      </c>
      <c r="AL6" s="17">
        <f t="shared" si="33"/>
        <v>0</v>
      </c>
      <c r="AM6" s="18">
        <f t="shared" si="34"/>
        <v>0</v>
      </c>
    </row>
    <row r="7" spans="1:39" x14ac:dyDescent="0.2">
      <c r="A7" t="s">
        <v>135</v>
      </c>
      <c r="B7" s="23"/>
      <c r="C7" s="24">
        <v>0.05</v>
      </c>
      <c r="D7" s="25" t="s">
        <v>136</v>
      </c>
      <c r="E7" s="4">
        <f t="shared" si="0"/>
        <v>0</v>
      </c>
      <c r="F7" s="4">
        <f t="shared" si="1"/>
        <v>0</v>
      </c>
      <c r="G7" s="4">
        <f t="shared" si="2"/>
        <v>0</v>
      </c>
      <c r="H7" s="4">
        <f t="shared" si="3"/>
        <v>0</v>
      </c>
      <c r="I7" s="4">
        <f t="shared" si="4"/>
        <v>0</v>
      </c>
      <c r="J7" s="4">
        <f t="shared" si="5"/>
        <v>0</v>
      </c>
      <c r="K7" s="4">
        <f t="shared" si="6"/>
        <v>0</v>
      </c>
      <c r="L7" s="4">
        <f t="shared" si="7"/>
        <v>0</v>
      </c>
      <c r="M7" s="4">
        <f t="shared" si="8"/>
        <v>0</v>
      </c>
      <c r="N7" s="4">
        <f t="shared" si="9"/>
        <v>0</v>
      </c>
      <c r="O7" s="4">
        <f t="shared" si="10"/>
        <v>0</v>
      </c>
      <c r="P7" s="4">
        <f t="shared" si="11"/>
        <v>0</v>
      </c>
      <c r="Q7" s="4">
        <f t="shared" si="12"/>
        <v>0</v>
      </c>
      <c r="R7" s="4">
        <f t="shared" si="13"/>
        <v>0</v>
      </c>
      <c r="S7" s="4">
        <f t="shared" si="14"/>
        <v>0</v>
      </c>
      <c r="T7" s="4">
        <f t="shared" si="15"/>
        <v>0</v>
      </c>
      <c r="U7" s="4">
        <f t="shared" si="16"/>
        <v>0</v>
      </c>
      <c r="V7" s="4">
        <f t="shared" si="17"/>
        <v>0</v>
      </c>
      <c r="W7" s="4">
        <f t="shared" si="18"/>
        <v>0</v>
      </c>
      <c r="X7" s="4">
        <f t="shared" si="19"/>
        <v>0</v>
      </c>
      <c r="Y7" s="4">
        <f t="shared" si="20"/>
        <v>0</v>
      </c>
      <c r="Z7" s="4">
        <f t="shared" si="21"/>
        <v>0</v>
      </c>
      <c r="AA7" s="4">
        <f t="shared" si="22"/>
        <v>0</v>
      </c>
      <c r="AB7" s="4">
        <f t="shared" si="23"/>
        <v>0</v>
      </c>
      <c r="AC7" s="4">
        <f t="shared" si="24"/>
        <v>0</v>
      </c>
      <c r="AD7" s="4">
        <f t="shared" si="25"/>
        <v>0</v>
      </c>
      <c r="AE7" s="4">
        <f t="shared" si="26"/>
        <v>0</v>
      </c>
      <c r="AF7" s="4">
        <f t="shared" si="27"/>
        <v>0</v>
      </c>
      <c r="AG7" s="17">
        <f t="shared" si="28"/>
        <v>0</v>
      </c>
      <c r="AH7" s="4">
        <f t="shared" si="29"/>
        <v>0</v>
      </c>
      <c r="AI7" s="4">
        <f t="shared" si="30"/>
        <v>0</v>
      </c>
      <c r="AJ7" s="4">
        <f t="shared" si="31"/>
        <v>0</v>
      </c>
      <c r="AK7" s="4">
        <f t="shared" si="32"/>
        <v>0</v>
      </c>
      <c r="AL7" s="17">
        <f t="shared" si="33"/>
        <v>0</v>
      </c>
      <c r="AM7" s="18">
        <f t="shared" si="34"/>
        <v>0</v>
      </c>
    </row>
    <row r="8" spans="1:39" x14ac:dyDescent="0.2">
      <c r="A8" t="s">
        <v>137</v>
      </c>
      <c r="B8" s="23"/>
      <c r="C8" s="24">
        <v>0.1</v>
      </c>
      <c r="D8" s="25" t="s">
        <v>138</v>
      </c>
      <c r="E8" s="4">
        <f t="shared" si="0"/>
        <v>0</v>
      </c>
      <c r="F8" s="4">
        <f t="shared" si="1"/>
        <v>0</v>
      </c>
      <c r="G8" s="4">
        <f t="shared" si="2"/>
        <v>0</v>
      </c>
      <c r="H8" s="4">
        <f t="shared" si="3"/>
        <v>0</v>
      </c>
      <c r="I8" s="4">
        <f t="shared" si="4"/>
        <v>0</v>
      </c>
      <c r="J8" s="4">
        <f t="shared" si="5"/>
        <v>0</v>
      </c>
      <c r="K8" s="4">
        <f t="shared" si="6"/>
        <v>0</v>
      </c>
      <c r="L8" s="4">
        <f t="shared" si="7"/>
        <v>0</v>
      </c>
      <c r="M8" s="4">
        <f t="shared" si="8"/>
        <v>0</v>
      </c>
      <c r="N8" s="4">
        <f t="shared" si="9"/>
        <v>0</v>
      </c>
      <c r="O8" s="4">
        <f t="shared" si="10"/>
        <v>0</v>
      </c>
      <c r="P8" s="4">
        <f t="shared" si="11"/>
        <v>0</v>
      </c>
      <c r="Q8" s="4">
        <f t="shared" si="12"/>
        <v>0</v>
      </c>
      <c r="R8" s="4">
        <f t="shared" si="13"/>
        <v>0</v>
      </c>
      <c r="S8" s="4">
        <f t="shared" si="14"/>
        <v>0</v>
      </c>
      <c r="T8" s="4">
        <f t="shared" si="15"/>
        <v>0</v>
      </c>
      <c r="U8" s="4">
        <f t="shared" si="16"/>
        <v>0</v>
      </c>
      <c r="V8" s="4">
        <f t="shared" si="17"/>
        <v>0</v>
      </c>
      <c r="W8" s="4">
        <f t="shared" si="18"/>
        <v>0</v>
      </c>
      <c r="X8" s="4">
        <f t="shared" si="19"/>
        <v>0</v>
      </c>
      <c r="Y8" s="4">
        <f t="shared" si="20"/>
        <v>0</v>
      </c>
      <c r="Z8" s="4">
        <f t="shared" si="21"/>
        <v>0</v>
      </c>
      <c r="AA8" s="4">
        <f t="shared" si="22"/>
        <v>0</v>
      </c>
      <c r="AB8" s="4">
        <f t="shared" si="23"/>
        <v>0</v>
      </c>
      <c r="AC8" s="4">
        <f t="shared" si="24"/>
        <v>0</v>
      </c>
      <c r="AD8" s="4">
        <f t="shared" si="25"/>
        <v>0</v>
      </c>
      <c r="AE8" s="4">
        <f t="shared" si="26"/>
        <v>0</v>
      </c>
      <c r="AF8" s="4">
        <f t="shared" si="27"/>
        <v>0</v>
      </c>
      <c r="AG8" s="17">
        <f t="shared" si="28"/>
        <v>0</v>
      </c>
      <c r="AH8" s="4">
        <f t="shared" si="29"/>
        <v>0</v>
      </c>
      <c r="AI8" s="4">
        <f t="shared" si="30"/>
        <v>0</v>
      </c>
      <c r="AJ8" s="4">
        <f t="shared" si="31"/>
        <v>0</v>
      </c>
      <c r="AK8" s="4">
        <f t="shared" si="32"/>
        <v>0</v>
      </c>
      <c r="AL8" s="17">
        <f t="shared" si="33"/>
        <v>0</v>
      </c>
      <c r="AM8" s="18">
        <f t="shared" si="34"/>
        <v>0</v>
      </c>
    </row>
    <row r="9" spans="1:39" x14ac:dyDescent="0.2">
      <c r="A9" t="s">
        <v>139</v>
      </c>
      <c r="B9" s="23"/>
      <c r="C9" s="24">
        <v>0.03</v>
      </c>
      <c r="D9" s="25" t="s">
        <v>140</v>
      </c>
      <c r="E9" s="4">
        <f t="shared" si="0"/>
        <v>0</v>
      </c>
      <c r="F9" s="4">
        <f t="shared" si="1"/>
        <v>0</v>
      </c>
      <c r="G9" s="4">
        <f t="shared" si="2"/>
        <v>0</v>
      </c>
      <c r="H9" s="4">
        <f t="shared" si="3"/>
        <v>0</v>
      </c>
      <c r="I9" s="4">
        <f t="shared" si="4"/>
        <v>0</v>
      </c>
      <c r="J9" s="4">
        <f t="shared" si="5"/>
        <v>0</v>
      </c>
      <c r="K9" s="4">
        <f t="shared" si="6"/>
        <v>0</v>
      </c>
      <c r="L9" s="4">
        <f t="shared" si="7"/>
        <v>0</v>
      </c>
      <c r="M9" s="4">
        <f t="shared" si="8"/>
        <v>0</v>
      </c>
      <c r="N9" s="4">
        <f t="shared" si="9"/>
        <v>0</v>
      </c>
      <c r="O9" s="4">
        <f t="shared" si="10"/>
        <v>0</v>
      </c>
      <c r="P9" s="4">
        <f t="shared" si="11"/>
        <v>0</v>
      </c>
      <c r="Q9" s="4">
        <f t="shared" si="12"/>
        <v>0</v>
      </c>
      <c r="R9" s="4">
        <f t="shared" si="13"/>
        <v>0</v>
      </c>
      <c r="S9" s="4">
        <f t="shared" si="14"/>
        <v>0</v>
      </c>
      <c r="T9" s="4">
        <f t="shared" si="15"/>
        <v>0</v>
      </c>
      <c r="U9" s="4">
        <f t="shared" si="16"/>
        <v>0</v>
      </c>
      <c r="V9" s="4">
        <f t="shared" si="17"/>
        <v>0</v>
      </c>
      <c r="W9" s="4">
        <f t="shared" si="18"/>
        <v>0</v>
      </c>
      <c r="X9" s="4">
        <f t="shared" si="19"/>
        <v>0</v>
      </c>
      <c r="Y9" s="4">
        <f t="shared" si="20"/>
        <v>0</v>
      </c>
      <c r="Z9" s="4">
        <f t="shared" si="21"/>
        <v>0</v>
      </c>
      <c r="AA9" s="4">
        <f t="shared" si="22"/>
        <v>0</v>
      </c>
      <c r="AB9" s="4">
        <f t="shared" si="23"/>
        <v>0</v>
      </c>
      <c r="AC9" s="4">
        <f t="shared" si="24"/>
        <v>0</v>
      </c>
      <c r="AD9" s="4">
        <f t="shared" si="25"/>
        <v>0</v>
      </c>
      <c r="AE9" s="4">
        <f t="shared" si="26"/>
        <v>0</v>
      </c>
      <c r="AF9" s="4">
        <f t="shared" si="27"/>
        <v>0</v>
      </c>
      <c r="AG9" s="17">
        <f t="shared" si="28"/>
        <v>0</v>
      </c>
      <c r="AH9" s="4">
        <f t="shared" si="29"/>
        <v>0</v>
      </c>
      <c r="AI9" s="4">
        <f t="shared" si="30"/>
        <v>0</v>
      </c>
      <c r="AJ9" s="4">
        <f t="shared" si="31"/>
        <v>0</v>
      </c>
      <c r="AK9" s="4">
        <f t="shared" si="32"/>
        <v>0</v>
      </c>
      <c r="AL9" s="17">
        <f t="shared" si="33"/>
        <v>0</v>
      </c>
      <c r="AM9" s="18">
        <f t="shared" si="34"/>
        <v>0</v>
      </c>
    </row>
    <row r="10" spans="1:39" ht="16" x14ac:dyDescent="0.2">
      <c r="A10" s="5" t="s">
        <v>141</v>
      </c>
      <c r="E10" s="26">
        <f t="shared" ref="E10:AM10" si="35">SUM(E4:E9)</f>
        <v>0</v>
      </c>
      <c r="F10" s="26">
        <f t="shared" si="35"/>
        <v>0</v>
      </c>
      <c r="G10" s="26">
        <f t="shared" si="35"/>
        <v>0</v>
      </c>
      <c r="H10" s="26">
        <f t="shared" si="35"/>
        <v>0</v>
      </c>
      <c r="I10" s="26">
        <f t="shared" si="35"/>
        <v>0</v>
      </c>
      <c r="J10" s="26">
        <f t="shared" si="35"/>
        <v>0</v>
      </c>
      <c r="K10" s="26">
        <f t="shared" si="35"/>
        <v>0</v>
      </c>
      <c r="L10" s="26">
        <f t="shared" si="35"/>
        <v>0</v>
      </c>
      <c r="M10" s="26">
        <f t="shared" si="35"/>
        <v>0</v>
      </c>
      <c r="N10" s="26">
        <f t="shared" si="35"/>
        <v>0</v>
      </c>
      <c r="O10" s="26">
        <f t="shared" si="35"/>
        <v>0</v>
      </c>
      <c r="P10" s="26">
        <f t="shared" si="35"/>
        <v>0</v>
      </c>
      <c r="Q10" s="26">
        <f t="shared" si="35"/>
        <v>0</v>
      </c>
      <c r="R10" s="26">
        <f t="shared" si="35"/>
        <v>0</v>
      </c>
      <c r="S10" s="26">
        <f t="shared" si="35"/>
        <v>0</v>
      </c>
      <c r="T10" s="26">
        <f t="shared" si="35"/>
        <v>0</v>
      </c>
      <c r="U10" s="26">
        <f t="shared" si="35"/>
        <v>0</v>
      </c>
      <c r="V10" s="26">
        <f t="shared" si="35"/>
        <v>0</v>
      </c>
      <c r="W10" s="26">
        <f t="shared" si="35"/>
        <v>0</v>
      </c>
      <c r="X10" s="26">
        <f t="shared" si="35"/>
        <v>0</v>
      </c>
      <c r="Y10" s="26">
        <f t="shared" si="35"/>
        <v>0</v>
      </c>
      <c r="Z10" s="26">
        <f t="shared" si="35"/>
        <v>0</v>
      </c>
      <c r="AA10" s="26">
        <f t="shared" si="35"/>
        <v>0</v>
      </c>
      <c r="AB10" s="26">
        <f t="shared" si="35"/>
        <v>0</v>
      </c>
      <c r="AC10" s="26">
        <f t="shared" si="35"/>
        <v>0</v>
      </c>
      <c r="AD10" s="26">
        <f t="shared" si="35"/>
        <v>0</v>
      </c>
      <c r="AE10" s="26">
        <f t="shared" si="35"/>
        <v>0</v>
      </c>
      <c r="AF10" s="26">
        <f t="shared" si="35"/>
        <v>0</v>
      </c>
      <c r="AG10" s="26">
        <f t="shared" si="35"/>
        <v>0</v>
      </c>
      <c r="AH10" s="26">
        <f t="shared" si="35"/>
        <v>0</v>
      </c>
      <c r="AI10" s="26">
        <f t="shared" si="35"/>
        <v>0</v>
      </c>
      <c r="AJ10" s="26">
        <f t="shared" si="35"/>
        <v>0</v>
      </c>
      <c r="AK10" s="26">
        <f t="shared" si="35"/>
        <v>0</v>
      </c>
      <c r="AL10" s="26">
        <f t="shared" si="35"/>
        <v>0</v>
      </c>
      <c r="AM10" s="26">
        <f t="shared" si="35"/>
        <v>0</v>
      </c>
    </row>
    <row r="11" spans="1:39" x14ac:dyDescent="0.2">
      <c r="A11" s="6" t="s">
        <v>142</v>
      </c>
      <c r="E11" s="7">
        <f>E10</f>
        <v>0</v>
      </c>
      <c r="F11" s="7">
        <f t="shared" ref="F11:AB11" si="36">E11+F10</f>
        <v>0</v>
      </c>
      <c r="G11" s="7">
        <f t="shared" si="36"/>
        <v>0</v>
      </c>
      <c r="H11" s="7">
        <f t="shared" si="36"/>
        <v>0</v>
      </c>
      <c r="I11" s="7">
        <f t="shared" si="36"/>
        <v>0</v>
      </c>
      <c r="J11" s="7">
        <f t="shared" si="36"/>
        <v>0</v>
      </c>
      <c r="K11" s="7">
        <f t="shared" si="36"/>
        <v>0</v>
      </c>
      <c r="L11" s="7">
        <f t="shared" si="36"/>
        <v>0</v>
      </c>
      <c r="M11" s="7">
        <f t="shared" si="36"/>
        <v>0</v>
      </c>
      <c r="N11" s="7">
        <f t="shared" si="36"/>
        <v>0</v>
      </c>
      <c r="O11" s="7">
        <f t="shared" si="36"/>
        <v>0</v>
      </c>
      <c r="P11" s="7">
        <f t="shared" si="36"/>
        <v>0</v>
      </c>
      <c r="Q11" s="7">
        <f t="shared" si="36"/>
        <v>0</v>
      </c>
      <c r="R11" s="7">
        <f t="shared" si="36"/>
        <v>0</v>
      </c>
      <c r="S11" s="7">
        <f t="shared" si="36"/>
        <v>0</v>
      </c>
      <c r="T11" s="7">
        <f t="shared" si="36"/>
        <v>0</v>
      </c>
      <c r="U11" s="7">
        <f t="shared" si="36"/>
        <v>0</v>
      </c>
      <c r="V11" s="7">
        <f t="shared" si="36"/>
        <v>0</v>
      </c>
      <c r="W11" s="7">
        <f t="shared" si="36"/>
        <v>0</v>
      </c>
      <c r="X11" s="7">
        <f t="shared" si="36"/>
        <v>0</v>
      </c>
      <c r="Y11" s="7">
        <f t="shared" si="36"/>
        <v>0</v>
      </c>
      <c r="Z11" s="7">
        <f t="shared" si="36"/>
        <v>0</v>
      </c>
      <c r="AA11" s="7">
        <f t="shared" si="36"/>
        <v>0</v>
      </c>
      <c r="AB11" s="7">
        <f t="shared" si="36"/>
        <v>0</v>
      </c>
      <c r="AC11" s="7">
        <f>G11</f>
        <v>0</v>
      </c>
      <c r="AD11" s="7">
        <f>J11</f>
        <v>0</v>
      </c>
      <c r="AE11" s="7">
        <f>M11</f>
        <v>0</v>
      </c>
      <c r="AF11" s="7">
        <f>P11</f>
        <v>0</v>
      </c>
      <c r="AG11" s="8">
        <f>AF11</f>
        <v>0</v>
      </c>
      <c r="AH11" s="7">
        <f>S11</f>
        <v>0</v>
      </c>
      <c r="AI11" s="7">
        <f>V11</f>
        <v>0</v>
      </c>
      <c r="AJ11" s="7">
        <f>Y11</f>
        <v>0</v>
      </c>
      <c r="AK11" s="7">
        <f>AB11</f>
        <v>0</v>
      </c>
      <c r="AL11" s="8">
        <f>AK11</f>
        <v>0</v>
      </c>
      <c r="AM11" s="8">
        <f>AB11</f>
        <v>0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Executive Summary</vt:lpstr>
      <vt:lpstr>All Detail</vt:lpstr>
      <vt:lpstr>Headcount Detail</vt:lpstr>
      <vt:lpstr>Infrastructure Detail</vt:lpstr>
      <vt:lpstr>Go-to-Market Detail</vt:lpstr>
      <vt:lpstr>R&amp;D Detail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2025-11-10T16:21:29Z</dcterms:created>
  <dcterms:modified xsi:type="dcterms:W3CDTF">2026-01-21T15:19:32Z</dcterms:modified>
  <cp:category/>
</cp:coreProperties>
</file>