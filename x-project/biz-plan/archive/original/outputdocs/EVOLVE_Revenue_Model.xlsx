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 Model" state="visible" r:id="rId4"/>
  </sheets>
  <calcPr calcId="171027"/>
</workbook>
</file>

<file path=xl/sharedStrings.xml><?xml version="1.0" encoding="utf-8"?>
<sst xmlns="http://schemas.openxmlformats.org/spreadsheetml/2006/main" count="86" uniqueCount="86">
  <si>
    <t>EVOLVE - 24 Month Revenue Model</t>
  </si>
  <si>
    <t>Target Case: Year 1 $2M ARR → Year 2 $10M ARR</t>
  </si>
  <si>
    <t>With Free-to-Paid Conversion Model &amp; Quarterly Totals</t>
  </si>
  <si>
    <t>KEY ASSUMPTIONS</t>
  </si>
  <si>
    <t>Average Annual Revenue per Customer (Year 1)</t>
  </si>
  <si>
    <t xml:space="preserve">  SMB Average ARR</t>
  </si>
  <si>
    <t>$500-2,500/month tiers</t>
  </si>
  <si>
    <t xml:space="preserve">  Mid-Market Average ARR</t>
  </si>
  <si>
    <t>Grows to $150K by Year 5</t>
  </si>
  <si>
    <t xml:space="preserve">  Enterprise Average ARR</t>
  </si>
  <si>
    <t>Grows to $500K by Year 5</t>
  </si>
  <si>
    <t>Net Dollar Retention (Expansion - Churn)</t>
  </si>
  <si>
    <t xml:space="preserve">  SMB Monthly Expansion Rate</t>
  </si>
  <si>
    <t>~110% NDR annually</t>
  </si>
  <si>
    <t xml:space="preserve">  Mid-Market Monthly Expansion Rate</t>
  </si>
  <si>
    <t>~119% NDR annually</t>
  </si>
  <si>
    <t xml:space="preserve">  Enterprise Monthly Expansion Rate</t>
  </si>
  <si>
    <t>~126% NDR annually</t>
  </si>
  <si>
    <t xml:space="preserve">  SMB Monthly Churn Rate</t>
  </si>
  <si>
    <t>~18% annual churn</t>
  </si>
  <si>
    <t xml:space="preserve">  Mid-Market Monthly Churn Rate</t>
  </si>
  <si>
    <t>~10% annual churn</t>
  </si>
  <si>
    <t xml:space="preserve">  Enterprise Monthly Churn Rate</t>
  </si>
  <si>
    <t>~6% annual churn</t>
  </si>
  <si>
    <t>Free-to-Paid Conversion (30-day model)</t>
  </si>
  <si>
    <t xml:space="preserve">  30-Day Conversion Rate</t>
  </si>
  <si>
    <t>Free users who convert to paid in following month</t>
  </si>
  <si>
    <t>Metric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</si>
  <si>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</si>
  <si>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</si>
  <si>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</si>
  <si>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</si>
  <si>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</si>
  <si>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</si>
  <si>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</si>
  <si>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</si>
  <si>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</si>
  <si>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</si>
  <si>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</si>
  <si>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</si>
  <si>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</si>
  <si>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</si>
  <si>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</si>
  <si>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</si>
  <si>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</si>
  <si>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</si>
  <si>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</si>
  <si>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</si>
  <si>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</si>
  <si>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</si>
  <si>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</si>
  <si>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</si>
  <si>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Q1 2026</t>
  </si>
  <si>
    <t>Q2 2026</t>
  </si>
  <si>
    <t>Q3 2026</t>
  </si>
  <si>
    <t>Q4 2026</t>
  </si>
  <si>
    <t>2026 Total</t>
  </si>
  <si>
    <t>Q1 2027</t>
  </si>
  <si>
    <t>Q2 2027</t>
  </si>
  <si>
    <t>Q3 2027</t>
  </si>
  <si>
    <t>Q4 2027</t>
  </si>
  <si>
    <t>2027 Total</t>
  </si>
  <si>
    <t>Grand Total</t>
  </si>
  <si>
    <t>SMB SEGMENT</t>
  </si>
  <si>
    <t xml:space="preserve">  New Free SMB Users (Month Prior)</t>
  </si>
  <si>
    <t xml:space="preserve">  New SMB Customers</t>
  </si>
  <si>
    <t xml:space="preserve">  Active SMB Customers</t>
  </si>
  <si>
    <t xml:space="preserve">  SMB MRR</t>
  </si>
  <si>
    <t xml:space="preserve">  SMB ARR (MRR x 12)</t>
  </si>
  <si>
    <t>MID-MARKET SEGMENT</t>
  </si>
  <si>
    <t xml:space="preserve">  New Free Mid-Market Users (Month Prior)</t>
  </si>
  <si>
    <t xml:space="preserve">  New Mid-Market Customers</t>
  </si>
  <si>
    <t xml:space="preserve">  Active Mid-Market Customers</t>
  </si>
  <si>
    <t xml:space="preserve">  Mid-Market MRR</t>
  </si>
  <si>
    <t xml:space="preserve">  Mid-Market ARR (MRR x 12)</t>
  </si>
  <si>
    <t>ENTERPRISE SEGMENT</t>
  </si>
  <si>
    <t xml:space="preserve">  New Free Enterprise Users (Month Prior)</t>
  </si>
  <si>
    <t xml:space="preserve">  New Enterprise Customers</t>
  </si>
  <si>
    <t xml:space="preserve">  Active Enterprise Customers</t>
  </si>
  <si>
    <t xml:space="preserve">  Enterprise MRR</t>
  </si>
  <si>
    <t xml:space="preserve">  Enterprise ARR (MRR x 12)</t>
  </si>
  <si>
    <t>TOTAL METRICS</t>
  </si>
  <si>
    <t xml:space="preserve">  Total Active Paid Customers</t>
  </si>
  <si>
    <t xml:space="preserve">  Total MRR</t>
  </si>
  <si>
    <t xml:space="preserve">  Total ARR (MRR x 12)</t>
  </si>
  <si>
    <t xml:space="preserve">  Cumulative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</si>
</sst>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0.0%"/>
  </numFmts>
  <fonts count="12" x14ac:knownFonts="1">
    <font>
      <color theme="1"/>
      <family val="2"/>
      <scheme val="minor"/>
      <sz val="11"/>
      <name val="Calibri"/>
    </font>
    <font>
      <b/>
      <sz val="16"/>
    </font>
    <font>
      <i/>
      <sz val="11"/>
    </font>
    <font>
      <i/>
      <color rgb="FF666666"/>
      <sz val="9"/>
    </font>
    <font>
      <b/>
      <color rgb="FFFFFFFF"/>
      <sz val="14"/>
    </font>
    <font>
      <b/>
    </font>
    <font>
      <color rgb="FFFF0000"/>
    </font>
    <font>
      <i/>
      <sz val="9"/>
    </font>
    <font>
      <b/>
      <color rgb="FFFFFFFF"/>
    </font>
    <font>
      <b/>
      <color rgb="FFFFFFFF"/>
      <sz val="12"/>
    </font>
    <font>
      <i/>
      <color rgb="FF999999"/>
    </font>
    <font>
      <b/>
      <i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70AD47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FC000"/>
      </patternFill>
    </fill>
    <fill>
      <patternFill patternType="solid">
        <fgColor rgb="FFD9F2D9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164" fontId="6" fillId="0" borderId="0" xfId="0" applyNumberFormat="1" applyFont="1"/>
    <xf numFmtId="0" fontId="7" fillId="0" borderId="0" xfId="0" applyFont="1"/>
    <xf numFmtId="10" fontId="6" fillId="0" borderId="0" xfId="0" applyNumberFormat="1" applyFont="1"/>
    <xf numFmtId="165" fontId="6" fillId="0" borderId="0" xfId="0" applyNumberFormat="1" applyFont="1"/>
    <xf numFmtId="0" fontId="8" fillId="3" borderId="0" xfId="0" applyFont="1" applyFill="1"/>
    <xf numFmtId="0" fontId="8" fillId="3" borderId="0" xfId="0" applyFont="1" applyFill="1" applyAlignment="1">
      <alignment horizontal="center" textRotation="90"/>
    </xf>
    <xf numFmtId="0" fontId="8" fillId="4" borderId="0" xfId="0" applyFont="1" applyFill="1" applyAlignment="1">
      <alignment horizontal="center" wrapText="1"/>
    </xf>
    <xf numFmtId="0" fontId="9" fillId="3" borderId="0" xfId="0" applyFont="1" applyFill="1"/>
    <xf numFmtId="3" fontId="0" fillId="0" borderId="0" xfId="0" applyNumberFormat="1"/>
    <xf numFmtId="3" fontId="5" fillId="5" borderId="0" xfId="0" applyNumberFormat="1" applyFont="1" applyFill="1"/>
    <xf numFmtId="3" fontId="5" fillId="6" borderId="0" xfId="0" applyNumberFormat="1" applyFont="1" applyFill="1"/>
    <xf numFmtId="3" fontId="6" fillId="0" borderId="0" xfId="0" applyNumberFormat="1" applyFont="1"/>
    <xf numFmtId="164" fontId="0" fillId="0" borderId="0" xfId="0" applyNumberFormat="1"/>
    <xf numFmtId="164" fontId="5" fillId="5" borderId="0" xfId="0" applyNumberFormat="1" applyFont="1" applyFill="1"/>
    <xf numFmtId="164" fontId="5" fillId="6" borderId="0" xfId="0" applyNumberFormat="1" applyFont="1" applyFill="1"/>
    <xf numFmtId="164" fontId="5" fillId="7" borderId="0" xfId="0" applyNumberFormat="1" applyFont="1" applyFill="1"/>
    <xf numFmtId="3" fontId="10" fillId="0" borderId="0" xfId="0" applyNumberFormat="1" applyFont="1"/>
    <xf numFmtId="0" fontId="9" fillId="2" borderId="0" xfId="0" applyFont="1" applyFill="1"/>
    <xf numFmtId="3" fontId="5" fillId="0" borderId="0" xfId="0" applyNumberFormat="1" applyFont="1"/>
    <xf numFmtId="0" fontId="11" fillId="0" borderId="0" xfId="0" applyFont="1"/>
    <xf numFmtId="164" fontId="11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9"/>
  <sheetFormatPr defaultRowHeight="15" outlineLevelRow="0" outlineLevelCol="0" x14ac:dyDescent="55"/>
  <cols>
    <col min="1" max="1" width="35" customWidth="1"/>
    <col min="2" max="13" width="11" customWidth="1"/>
    <col min="14" max="25" width="11" outlineLevel="1" collapsed="1" customWidth="1"/>
    <col min="26" max="36" width="1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5" spans="1:4" x14ac:dyDescent="0.25">
      <c r="A5" s="4" t="s">
        <v>3</v>
      </c>
      <c r="B5" s="4"/>
      <c r="C5" s="4"/>
      <c r="D5" s="4"/>
    </row>
    <row r="6" spans="1:1" x14ac:dyDescent="0.25">
      <c r="A6" s="5" t="s">
        <v>4</v>
      </c>
    </row>
    <row r="7" spans="1:3" x14ac:dyDescent="0.25">
      <c r="A7" t="s">
        <v>5</v>
      </c>
      <c r="B7" s="6">
        <v>20000</v>
      </c>
      <c r="C7" s="7" t="s">
        <v>6</v>
      </c>
    </row>
    <row r="8" spans="1:3" x14ac:dyDescent="0.25">
      <c r="A8" t="s">
        <v>7</v>
      </c>
      <c r="B8" s="6">
        <v>75000</v>
      </c>
      <c r="C8" s="7" t="s">
        <v>8</v>
      </c>
    </row>
    <row r="9" spans="1:3" x14ac:dyDescent="0.25">
      <c r="A9" t="s">
        <v>9</v>
      </c>
      <c r="B9" s="6">
        <v>200000</v>
      </c>
      <c r="C9" s="7" t="s">
        <v>10</v>
      </c>
    </row>
    <row r="11" spans="1:1" x14ac:dyDescent="0.25">
      <c r="A11" s="5" t="s">
        <v>11</v>
      </c>
    </row>
    <row r="12" spans="1:3" x14ac:dyDescent="0.25">
      <c r="A12" t="s">
        <v>12</v>
      </c>
      <c r="B12" s="8">
        <v>0.0085</v>
      </c>
      <c r="C12" s="7" t="s">
        <v>13</v>
      </c>
    </row>
    <row r="13" spans="1:3" x14ac:dyDescent="0.25">
      <c r="A13" t="s">
        <v>14</v>
      </c>
      <c r="B13" s="8">
        <v>0.0146</v>
      </c>
      <c r="C13" s="7" t="s">
        <v>15</v>
      </c>
    </row>
    <row r="14" spans="1:3" x14ac:dyDescent="0.25">
      <c r="A14" t="s">
        <v>16</v>
      </c>
      <c r="B14" s="8">
        <v>0.0193</v>
      </c>
      <c r="C14" s="7" t="s">
        <v>17</v>
      </c>
    </row>
    <row r="15" spans="1:3" x14ac:dyDescent="0.25">
      <c r="A15" t="s">
        <v>18</v>
      </c>
      <c r="B15" s="9">
        <v>0.015</v>
      </c>
      <c r="C15" s="7" t="s">
        <v>19</v>
      </c>
    </row>
    <row r="16" spans="1:3" x14ac:dyDescent="0.25">
      <c r="A16" t="s">
        <v>20</v>
      </c>
      <c r="B16" s="9">
        <v>0.008</v>
      </c>
      <c r="C16" s="7" t="s">
        <v>21</v>
      </c>
    </row>
    <row r="17" spans="1:3" x14ac:dyDescent="0.25">
      <c r="A17" t="s">
        <v>22</v>
      </c>
      <c r="B17" s="9">
        <v>0.005</v>
      </c>
      <c r="C17" s="7" t="s">
        <v>23</v>
      </c>
    </row>
    <row r="19" spans="1:1" x14ac:dyDescent="0.25">
      <c r="A19" s="5" t="s">
        <v>24</v>
      </c>
    </row>
    <row r="20" spans="1:3" x14ac:dyDescent="0.25">
      <c r="A20" t="s">
        <v>25</v>
      </c>
      <c r="B20" s="9">
        <v>0.05</v>
      </c>
      <c r="C20" s="7" t="s">
        <v>26</v>
      </c>
    </row>
    <row r="23" spans="1:36" x14ac:dyDescent="0.25">
      <c r="A23" s="10" t="s">
        <v>27</v>
      </c>
      <c r="B23" s="11" t="s">
        <v>28</v>
      </c>
      <c r="C23" s="11" t="s">
        <v>29</v>
      </c>
      <c r="D23" s="11" t="s">
        <v>30</v>
      </c>
      <c r="E23" s="11" t="s">
        <v>31</v>
      </c>
      <c r="F23" s="11" t="s">
        <v>32</v>
      </c>
      <c r="G23" s="11" t="s">
        <v>33</v>
      </c>
      <c r="H23" s="11" t="s">
        <v>34</v>
      </c>
      <c r="I23" s="11" t="s">
        <v>35</v>
      </c>
      <c r="J23" s="11" t="s">
        <v>36</v>
      </c>
      <c r="K23" s="11" t="s">
        <v>37</v>
      </c>
      <c r="L23" s="11" t="s">
        <v>38</v>
      </c>
      <c r="M23" s="11" t="s">
        <v>39</v>
      </c>
      <c r="N23" s="11" t="s">
        <v>40</v>
      </c>
      <c r="O23" s="11" t="s">
        <v>41</v>
      </c>
      <c r="P23" s="11" t="s">
        <v>42</v>
      </c>
      <c r="Q23" s="11" t="s">
        <v>43</v>
      </c>
      <c r="R23" s="11" t="s">
        <v>44</v>
      </c>
      <c r="S23" s="11" t="s">
        <v>45</v>
      </c>
      <c r="T23" s="11" t="s">
        <v>46</v>
      </c>
      <c r="U23" s="11" t="s">
        <v>47</v>
      </c>
      <c r="V23" s="11" t="s">
        <v>48</v>
      </c>
      <c r="W23" s="11" t="s">
        <v>49</v>
      </c>
      <c r="X23" s="11" t="s">
        <v>50</v>
      </c>
      <c r="Y23" s="11" t="s">
        <v>51</v>
      </c>
      <c r="Z23" s="12" t="s">
        <v>52</v>
      </c>
      <c r="AA23" s="12" t="s">
        <v>53</v>
      </c>
      <c r="AB23" s="12" t="s">
        <v>54</v>
      </c>
      <c r="AC23" s="12" t="s">
        <v>55</v>
      </c>
      <c r="AD23" s="12" t="s">
        <v>56</v>
      </c>
      <c r="AE23" s="12" t="s">
        <v>57</v>
      </c>
      <c r="AF23" s="12" t="s">
        <v>58</v>
      </c>
      <c r="AG23" s="12" t="s">
        <v>59</v>
      </c>
      <c r="AH23" s="12" t="s">
        <v>60</v>
      </c>
      <c r="AI23" s="12" t="s">
        <v>61</v>
      </c>
      <c r="AJ23" s="12" t="s">
        <v>62</v>
      </c>
    </row>
    <row r="24" spans="1:1" x14ac:dyDescent="0.25">
      <c r="A24" s="13" t="s">
        <v>63</v>
      </c>
    </row>
    <row r="25" spans="1:36" x14ac:dyDescent="0.25">
      <c r="A25" t="s">
        <v>64</v>
      </c>
      <c r="B25" s="14">
        <f>C26/B20</f>
      </c>
      <c r="C25" s="14">
        <f>D26/B20</f>
      </c>
      <c r="D25" s="14">
        <f>E26/B20</f>
      </c>
      <c r="E25" s="14">
        <f>F26/B20</f>
      </c>
      <c r="F25" s="14">
        <f>G26/B20</f>
      </c>
      <c r="G25" s="14">
        <f>H26/B20</f>
      </c>
      <c r="H25" s="14">
        <f>I26/B20</f>
      </c>
      <c r="I25" s="14">
        <f>J26/B20</f>
      </c>
      <c r="J25" s="14">
        <f>K26/B20</f>
      </c>
      <c r="K25" s="14">
        <f>L26/B20</f>
      </c>
      <c r="L25" s="14">
        <f>M26/B20</f>
      </c>
      <c r="M25" s="14">
        <f>N26/B20</f>
      </c>
      <c r="N25" s="14">
        <f>O26/B20</f>
      </c>
      <c r="O25" s="14">
        <f>P26/B20</f>
      </c>
      <c r="P25" s="14">
        <f>Q26/B20</f>
      </c>
      <c r="Q25" s="14">
        <f>R26/B20</f>
      </c>
      <c r="R25" s="14">
        <f>S26/B20</f>
      </c>
      <c r="S25" s="14">
        <f>T26/B20</f>
      </c>
      <c r="T25" s="14">
        <f>U26/B20</f>
      </c>
      <c r="U25" s="14">
        <f>V26/B20</f>
      </c>
      <c r="V25" s="14">
        <f>W26/B20</f>
      </c>
      <c r="W25" s="14">
        <f>X26/B20</f>
      </c>
      <c r="X25" s="14">
        <f>Y26/B20</f>
      </c>
      <c r="Y25" s="14">
        <f>Y26/B20</f>
      </c>
      <c r="Z25" s="14">
        <f>SUM(B25:D25)</f>
      </c>
      <c r="AA25" s="14">
        <f>SUM(E25:G25)</f>
      </c>
      <c r="AB25" s="14">
        <f>SUM(H25:J25)</f>
      </c>
      <c r="AC25" s="14">
        <f>SUM(K25:M25)</f>
      </c>
      <c r="AD25" s="15">
        <f>SUM(Z25:AC25)</f>
      </c>
      <c r="AE25" s="14">
        <f>SUM(N25:P25)</f>
      </c>
      <c r="AF25" s="14">
        <f>SUM(Q25:S25)</f>
      </c>
      <c r="AG25" s="14">
        <f>SUM(T25:V25)</f>
      </c>
      <c r="AH25" s="14">
        <f>SUM(W25:Y25)</f>
      </c>
      <c r="AI25" s="15">
        <f>SUM(AE25:AH25)</f>
      </c>
      <c r="AJ25" s="16">
        <f>AD25+AI25</f>
      </c>
    </row>
    <row r="26" spans="1:36" x14ac:dyDescent="0.25">
      <c r="A26" t="s">
        <v>65</v>
      </c>
      <c r="B26" s="17">
        <v>0</v>
      </c>
      <c r="C26" s="17">
        <v>0</v>
      </c>
      <c r="D26" s="17">
        <v>1</v>
      </c>
      <c r="E26" s="17">
        <v>2</v>
      </c>
      <c r="F26" s="17">
        <v>3</v>
      </c>
      <c r="G26" s="17">
        <v>4</v>
      </c>
      <c r="H26" s="17">
        <v>5</v>
      </c>
      <c r="I26" s="17">
        <v>6</v>
      </c>
      <c r="J26" s="17">
        <v>7</v>
      </c>
      <c r="K26" s="17">
        <v>8</v>
      </c>
      <c r="L26" s="17">
        <v>9</v>
      </c>
      <c r="M26" s="17">
        <v>10</v>
      </c>
      <c r="N26" s="17">
        <v>11</v>
      </c>
      <c r="O26" s="17">
        <v>12</v>
      </c>
      <c r="P26" s="17">
        <v>13</v>
      </c>
      <c r="Q26" s="17">
        <v>14</v>
      </c>
      <c r="R26" s="17">
        <v>15</v>
      </c>
      <c r="S26" s="17">
        <v>16</v>
      </c>
      <c r="T26" s="17">
        <v>17</v>
      </c>
      <c r="U26" s="17">
        <v>18</v>
      </c>
      <c r="V26" s="17">
        <v>19</v>
      </c>
      <c r="W26" s="17">
        <v>20</v>
      </c>
      <c r="X26" s="17">
        <v>21</v>
      </c>
      <c r="Y26" s="17">
        <v>22</v>
      </c>
      <c r="Z26" s="14">
        <f>SUM(B26:D26)</f>
      </c>
      <c r="AA26" s="14">
        <f>SUM(E26:G26)</f>
      </c>
      <c r="AB26" s="14">
        <f>SUM(H26:J26)</f>
      </c>
      <c r="AC26" s="14">
        <f>SUM(K26:M26)</f>
      </c>
      <c r="AD26" s="15">
        <f>SUM(Z26:AC26)</f>
      </c>
      <c r="AE26" s="14">
        <f>SUM(N26:P26)</f>
      </c>
      <c r="AF26" s="14">
        <f>SUM(Q26:S26)</f>
      </c>
      <c r="AG26" s="14">
        <f>SUM(T26:V26)</f>
      </c>
      <c r="AH26" s="14">
        <f>SUM(W26:Y26)</f>
      </c>
      <c r="AI26" s="15">
        <f>SUM(AE26:AH26)</f>
      </c>
      <c r="AJ26" s="16">
        <f>AD26+AI26</f>
      </c>
    </row>
    <row r="27" spans="1:36" x14ac:dyDescent="0.25">
      <c r="A27" t="s">
        <v>66</v>
      </c>
      <c r="B27" s="14">
        <f>B26</f>
      </c>
      <c r="C27" s="14">
        <f>B27*(1-B15)+C26</f>
      </c>
      <c r="D27" s="14">
        <f>C27*(1-B15)+D26</f>
      </c>
      <c r="E27" s="14">
        <f>D27*(1-B15)+E26</f>
      </c>
      <c r="F27" s="14">
        <f>E27*(1-B15)+F26</f>
      </c>
      <c r="G27" s="14">
        <f>F27*(1-B15)+G26</f>
      </c>
      <c r="H27" s="14">
        <f>G27*(1-B15)+H26</f>
      </c>
      <c r="I27" s="14">
        <f>H27*(1-B15)+I26</f>
      </c>
      <c r="J27" s="14">
        <f>I27*(1-B15)+J26</f>
      </c>
      <c r="K27" s="14">
        <f>J27*(1-B15)+K26</f>
      </c>
      <c r="L27" s="14">
        <f>K27*(1-B15)+L26</f>
      </c>
      <c r="M27" s="14">
        <f>L27*(1-B15)+M26</f>
      </c>
      <c r="N27" s="14">
        <f>M27*(1-B15)+N26</f>
      </c>
      <c r="O27" s="14">
        <f>N27*(1-B15)+O26</f>
      </c>
      <c r="P27" s="14">
        <f>O27*(1-B15)+P26</f>
      </c>
      <c r="Q27" s="14">
        <f>P27*(1-B15)+Q26</f>
      </c>
      <c r="R27" s="14">
        <f>Q27*(1-B15)+R26</f>
      </c>
      <c r="S27" s="14">
        <f>R27*(1-B15)+S26</f>
      </c>
      <c r="T27" s="14">
        <f>S27*(1-B15)+T26</f>
      </c>
      <c r="U27" s="14">
        <f>T27*(1-B15)+U26</f>
      </c>
      <c r="V27" s="14">
        <f>U27*(1-B15)+V26</f>
      </c>
      <c r="W27" s="14">
        <f>V27*(1-B15)+W26</f>
      </c>
      <c r="X27" s="14">
        <f>W27*(1-B15)+X26</f>
      </c>
      <c r="Y27" s="14">
        <f>X27*(1-B15)+Y26</f>
      </c>
      <c r="Z27" s="14">
        <f>D27</f>
      </c>
      <c r="AA27" s="14">
        <f>G27</f>
      </c>
      <c r="AB27" s="14">
        <f>J27</f>
      </c>
      <c r="AC27" s="14">
        <f>M27</f>
      </c>
      <c r="AD27" s="14">
        <f>M27</f>
      </c>
      <c r="AE27" s="14">
        <f>P27</f>
      </c>
      <c r="AF27" s="14">
        <f>S27</f>
      </c>
      <c r="AG27" s="14">
        <f>V27</f>
      </c>
      <c r="AH27" s="14">
        <f>Y27</f>
      </c>
      <c r="AI27" s="14">
        <f>Y27</f>
      </c>
      <c r="AJ27" s="14">
        <f>Y27</f>
      </c>
    </row>
    <row r="28" spans="1:36" x14ac:dyDescent="0.25">
      <c r="A28" t="s">
        <v>67</v>
      </c>
      <c r="B28" s="18">
        <f>B27*B7/12</f>
      </c>
      <c r="C28" s="18">
        <f>B28*(1-B15)*(1+B12)+C26*B7/12</f>
      </c>
      <c r="D28" s="18">
        <f>C28*(1-B15)*(1+B12)+D26*B7/12</f>
      </c>
      <c r="E28" s="18">
        <f>D28*(1-B15)*(1+B12)+E26*B7/12</f>
      </c>
      <c r="F28" s="18">
        <f>E28*(1-B15)*(1+B12)+F26*B7/12</f>
      </c>
      <c r="G28" s="18">
        <f>F28*(1-B15)*(1+B12)+G26*B7/12</f>
      </c>
      <c r="H28" s="18">
        <f>G28*(1-B15)*(1+B12)+H26*B7/12</f>
      </c>
      <c r="I28" s="18">
        <f>H28*(1-B15)*(1+B12)+I26*B7/12</f>
      </c>
      <c r="J28" s="18">
        <f>I28*(1-B15)*(1+B12)+J26*B7/12</f>
      </c>
      <c r="K28" s="18">
        <f>J28*(1-B15)*(1+B12)+K26*B7/12</f>
      </c>
      <c r="L28" s="18">
        <f>K28*(1-B15)*(1+B12)+L26*B7/12</f>
      </c>
      <c r="M28" s="18">
        <f>L28*(1-B15)*(1+B12)+M26*B7/12</f>
      </c>
      <c r="N28" s="18">
        <f>M28*(1-B15)*(1+B12)+N26*B7/12</f>
      </c>
      <c r="O28" s="18">
        <f>N28*(1-B15)*(1+B12)+O26*B7/12</f>
      </c>
      <c r="P28" s="18">
        <f>O28*(1-B15)*(1+B12)+P26*B7/12</f>
      </c>
      <c r="Q28" s="18">
        <f>P28*(1-B15)*(1+B12)+Q26*B7/12</f>
      </c>
      <c r="R28" s="18">
        <f>Q28*(1-B15)*(1+B12)+R26*B7/12</f>
      </c>
      <c r="S28" s="18">
        <f>R28*(1-B15)*(1+B12)+S26*B7/12</f>
      </c>
      <c r="T28" s="18">
        <f>S28*(1-B15)*(1+B12)+T26*B7/12</f>
      </c>
      <c r="U28" s="18">
        <f>T28*(1-B15)*(1+B12)+U26*B7/12</f>
      </c>
      <c r="V28" s="18">
        <f>U28*(1-B15)*(1+B12)+V26*B7/12</f>
      </c>
      <c r="W28" s="18">
        <f>V28*(1-B15)*(1+B12)+W26*B7/12</f>
      </c>
      <c r="X28" s="18">
        <f>W28*(1-B15)*(1+B12)+X26*B7/12</f>
      </c>
      <c r="Y28" s="18">
        <f>X28*(1-B15)*(1+B12)+Y26*B7/12</f>
      </c>
      <c r="Z28" s="18">
        <f>SUM(B28:D28)</f>
      </c>
      <c r="AA28" s="18">
        <f>SUM(E28:G28)</f>
      </c>
      <c r="AB28" s="18">
        <f>SUM(H28:J28)</f>
      </c>
      <c r="AC28" s="18">
        <f>SUM(K28:M28)</f>
      </c>
      <c r="AD28" s="19">
        <f>SUM(Z28:AC28)</f>
      </c>
      <c r="AE28" s="18">
        <f>SUM(N28:P28)</f>
      </c>
      <c r="AF28" s="18">
        <f>SUM(Q28:S28)</f>
      </c>
      <c r="AG28" s="18">
        <f>SUM(T28:V28)</f>
      </c>
      <c r="AH28" s="18">
        <f>SUM(W28:Y28)</f>
      </c>
      <c r="AI28" s="19">
        <f>SUM(AE28:AH28)</f>
      </c>
      <c r="AJ28" s="20">
        <f>AD28+AI28</f>
      </c>
    </row>
    <row r="29" spans="1:36" x14ac:dyDescent="0.25">
      <c r="A29" s="5" t="s">
        <v>68</v>
      </c>
      <c r="B29" s="21">
        <f>B28*12</f>
      </c>
      <c r="C29" s="21">
        <f>C28*12</f>
      </c>
      <c r="D29" s="21">
        <f>D28*12</f>
      </c>
      <c r="E29" s="21">
        <f>E28*12</f>
      </c>
      <c r="F29" s="21">
        <f>F28*12</f>
      </c>
      <c r="G29" s="21">
        <f>G28*12</f>
      </c>
      <c r="H29" s="21">
        <f>H28*12</f>
      </c>
      <c r="I29" s="21">
        <f>I28*12</f>
      </c>
      <c r="J29" s="21">
        <f>J28*12</f>
      </c>
      <c r="K29" s="21">
        <f>K28*12</f>
      </c>
      <c r="L29" s="21">
        <f>L28*12</f>
      </c>
      <c r="M29" s="21">
        <f>M28*12</f>
      </c>
      <c r="N29" s="21">
        <f>N28*12</f>
      </c>
      <c r="O29" s="21">
        <f>O28*12</f>
      </c>
      <c r="P29" s="21">
        <f>P28*12</f>
      </c>
      <c r="Q29" s="21">
        <f>Q28*12</f>
      </c>
      <c r="R29" s="21">
        <f>R28*12</f>
      </c>
      <c r="S29" s="21">
        <f>S28*12</f>
      </c>
      <c r="T29" s="21">
        <f>T28*12</f>
      </c>
      <c r="U29" s="21">
        <f>U28*12</f>
      </c>
      <c r="V29" s="21">
        <f>V28*12</f>
      </c>
      <c r="W29" s="21">
        <f>W28*12</f>
      </c>
      <c r="X29" s="21">
        <f>X28*12</f>
      </c>
      <c r="Y29" s="21">
        <f>Y28*12</f>
      </c>
      <c r="Z29" s="21">
        <f>D29</f>
      </c>
      <c r="AA29" s="21">
        <f>G29</f>
      </c>
      <c r="AB29" s="21">
        <f>J29</f>
      </c>
      <c r="AC29" s="21">
        <f>M29</f>
      </c>
      <c r="AD29" s="21">
        <f>M29</f>
      </c>
      <c r="AE29" s="21">
        <f>P29</f>
      </c>
      <c r="AF29" s="21">
        <f>S29</f>
      </c>
      <c r="AG29" s="21">
        <f>V29</f>
      </c>
      <c r="AH29" s="21">
        <f>Y29</f>
      </c>
      <c r="AI29" s="21">
        <f>Y29</f>
      </c>
      <c r="AJ29" s="21">
        <f>Y29</f>
      </c>
    </row>
    <row r="31" spans="1:1" x14ac:dyDescent="0.25">
      <c r="A31" s="13" t="s">
        <v>69</v>
      </c>
    </row>
    <row r="32" spans="1:36" x14ac:dyDescent="0.25">
      <c r="A32" t="s">
        <v>70</v>
      </c>
      <c r="B32" s="14">
        <f>C33/B20</f>
      </c>
      <c r="C32" s="14">
        <f>D33/B20</f>
      </c>
      <c r="D32" s="14">
        <f>E33/B20</f>
      </c>
      <c r="E32" s="14">
        <f>F33/B20</f>
      </c>
      <c r="F32" s="14">
        <f>G33/B20</f>
      </c>
      <c r="G32" s="14">
        <f>H33/B20</f>
      </c>
      <c r="H32" s="14">
        <f>I33/B20</f>
      </c>
      <c r="I32" s="14">
        <f>J33/B20</f>
      </c>
      <c r="J32" s="14">
        <f>K33/B20</f>
      </c>
      <c r="K32" s="14">
        <f>L33/B20</f>
      </c>
      <c r="L32" s="14">
        <f>M33/B20</f>
      </c>
      <c r="M32" s="14">
        <f>N33/B20</f>
      </c>
      <c r="N32" s="14">
        <f>O33/B20</f>
      </c>
      <c r="O32" s="14">
        <f>P33/B20</f>
      </c>
      <c r="P32" s="14">
        <f>Q33/B20</f>
      </c>
      <c r="Q32" s="14">
        <f>R33/B20</f>
      </c>
      <c r="R32" s="14">
        <f>S33/B20</f>
      </c>
      <c r="S32" s="14">
        <f>T33/B20</f>
      </c>
      <c r="T32" s="14">
        <f>U33/B20</f>
      </c>
      <c r="U32" s="14">
        <f>V33/B20</f>
      </c>
      <c r="V32" s="14">
        <f>W33/B20</f>
      </c>
      <c r="W32" s="14">
        <f>X33/B20</f>
      </c>
      <c r="X32" s="14">
        <f>Y33/B20</f>
      </c>
      <c r="Y32" s="14">
        <f>Y33/B20</f>
      </c>
      <c r="Z32" s="14">
        <f>SUM(B32:D32)</f>
      </c>
      <c r="AA32" s="14">
        <f>SUM(E32:G32)</f>
      </c>
      <c r="AB32" s="14">
        <f>SUM(H32:J32)</f>
      </c>
      <c r="AC32" s="14">
        <f>SUM(K32:M32)</f>
      </c>
      <c r="AD32" s="15">
        <f>SUM(Z32:AC32)</f>
      </c>
      <c r="AE32" s="14">
        <f>SUM(N32:P32)</f>
      </c>
      <c r="AF32" s="14">
        <f>SUM(Q32:S32)</f>
      </c>
      <c r="AG32" s="14">
        <f>SUM(T32:V32)</f>
      </c>
      <c r="AH32" s="14">
        <f>SUM(W32:Y32)</f>
      </c>
      <c r="AI32" s="15">
        <f>SUM(AE32:AH32)</f>
      </c>
      <c r="AJ32" s="16">
        <f>AD32+AI32</f>
      </c>
    </row>
    <row r="33" spans="1:36" x14ac:dyDescent="0.25">
      <c r="A33" t="s">
        <v>71</v>
      </c>
      <c r="B33" s="22">
        <v>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14">
        <f>SUM(B33:D33)</f>
      </c>
      <c r="AA33" s="14">
        <f>SUM(E33:G33)</f>
      </c>
      <c r="AB33" s="14">
        <f>SUM(H33:J33)</f>
      </c>
      <c r="AC33" s="14">
        <f>SUM(K33:M33)</f>
      </c>
      <c r="AD33" s="15">
        <f>SUM(Z33:AC33)</f>
      </c>
      <c r="AE33" s="14">
        <f>SUM(N33:P33)</f>
      </c>
      <c r="AF33" s="14">
        <f>SUM(Q33:S33)</f>
      </c>
      <c r="AG33" s="14">
        <f>SUM(T33:V33)</f>
      </c>
      <c r="AH33" s="14">
        <f>SUM(W33:Y33)</f>
      </c>
      <c r="AI33" s="15">
        <f>SUM(AE33:AH33)</f>
      </c>
      <c r="AJ33" s="16">
        <f>AD33+AI33</f>
      </c>
    </row>
    <row r="34" spans="1:36" x14ac:dyDescent="0.25">
      <c r="A34" t="s">
        <v>72</v>
      </c>
      <c r="B34" s="14">
        <f>B33</f>
      </c>
      <c r="C34" s="14">
        <f>B34*(1-B16)+C33</f>
      </c>
      <c r="D34" s="14">
        <f>C34*(1-B16)+D33</f>
      </c>
      <c r="E34" s="14">
        <f>D34*(1-B16)+E33</f>
      </c>
      <c r="F34" s="14">
        <f>E34*(1-B16)+F33</f>
      </c>
      <c r="G34" s="14">
        <f>F34*(1-B16)+G33</f>
      </c>
      <c r="H34" s="14">
        <f>G34*(1-B16)+H33</f>
      </c>
      <c r="I34" s="14">
        <f>H34*(1-B16)+I33</f>
      </c>
      <c r="J34" s="14">
        <f>I34*(1-B16)+J33</f>
      </c>
      <c r="K34" s="14">
        <f>J34*(1-B16)+K33</f>
      </c>
      <c r="L34" s="14">
        <f>K34*(1-B16)+L33</f>
      </c>
      <c r="M34" s="14">
        <f>L34*(1-B16)+M33</f>
      </c>
      <c r="N34" s="14">
        <f>M34*(1-B16)+N33</f>
      </c>
      <c r="O34" s="14">
        <f>N34*(1-B16)+O33</f>
      </c>
      <c r="P34" s="14">
        <f>O34*(1-B16)+P33</f>
      </c>
      <c r="Q34" s="14">
        <f>P34*(1-B16)+Q33</f>
      </c>
      <c r="R34" s="14">
        <f>Q34*(1-B16)+R33</f>
      </c>
      <c r="S34" s="14">
        <f>R34*(1-B16)+S33</f>
      </c>
      <c r="T34" s="14">
        <f>S34*(1-B16)+T33</f>
      </c>
      <c r="U34" s="14">
        <f>T34*(1-B16)+U33</f>
      </c>
      <c r="V34" s="14">
        <f>U34*(1-B16)+V33</f>
      </c>
      <c r="W34" s="14">
        <f>V34*(1-B16)+W33</f>
      </c>
      <c r="X34" s="14">
        <f>W34*(1-B16)+X33</f>
      </c>
      <c r="Y34" s="14">
        <f>X34*(1-B16)+Y33</f>
      </c>
      <c r="Z34" s="14">
        <f>D34</f>
      </c>
      <c r="AA34" s="14">
        <f>G34</f>
      </c>
      <c r="AB34" s="14">
        <f>J34</f>
      </c>
      <c r="AC34" s="14">
        <f>M34</f>
      </c>
      <c r="AD34" s="14">
        <f>M34</f>
      </c>
      <c r="AE34" s="14">
        <f>P34</f>
      </c>
      <c r="AF34" s="14">
        <f>S34</f>
      </c>
      <c r="AG34" s="14">
        <f>V34</f>
      </c>
      <c r="AH34" s="14">
        <f>Y34</f>
      </c>
      <c r="AI34" s="14">
        <f>Y34</f>
      </c>
      <c r="AJ34" s="14">
        <f>Y34</f>
      </c>
    </row>
    <row r="35" spans="1:36" x14ac:dyDescent="0.25">
      <c r="A35" t="s">
        <v>73</v>
      </c>
      <c r="B35" s="18">
        <f>B34*B8/12</f>
      </c>
      <c r="C35" s="18">
        <f>B35*(1-B16)*(1+B13)+C33*B8/12</f>
      </c>
      <c r="D35" s="18">
        <f>C35*(1-B16)*(1+B13)+D33*B8/12</f>
      </c>
      <c r="E35" s="18">
        <f>D35*(1-B16)*(1+B13)+E33*B8/12</f>
      </c>
      <c r="F35" s="18">
        <f>E35*(1-B16)*(1+B13)+F33*B8/12</f>
      </c>
      <c r="G35" s="18">
        <f>F35*(1-B16)*(1+B13)+G33*B8/12</f>
      </c>
      <c r="H35" s="18">
        <f>G35*(1-B16)*(1+B13)+H33*B8/12</f>
      </c>
      <c r="I35" s="18">
        <f>H35*(1-B16)*(1+B13)+I33*B8/12</f>
      </c>
      <c r="J35" s="18">
        <f>I35*(1-B16)*(1+B13)+J33*B8/12</f>
      </c>
      <c r="K35" s="18">
        <f>J35*(1-B16)*(1+B13)+K33*B8/12</f>
      </c>
      <c r="L35" s="18">
        <f>K35*(1-B16)*(1+B13)+L33*B8/12</f>
      </c>
      <c r="M35" s="18">
        <f>L35*(1-B16)*(1+B13)+M33*B8/12</f>
      </c>
      <c r="N35" s="18">
        <f>M35*(1-B16)*(1+B13)+N33*B8/12</f>
      </c>
      <c r="O35" s="18">
        <f>N35*(1-B16)*(1+B13)+O33*B8/12</f>
      </c>
      <c r="P35" s="18">
        <f>O35*(1-B16)*(1+B13)+P33*B8/12</f>
      </c>
      <c r="Q35" s="18">
        <f>P35*(1-B16)*(1+B13)+Q33*B8/12</f>
      </c>
      <c r="R35" s="18">
        <f>Q35*(1-B16)*(1+B13)+R33*B8/12</f>
      </c>
      <c r="S35" s="18">
        <f>R35*(1-B16)*(1+B13)+S33*B8/12</f>
      </c>
      <c r="T35" s="18">
        <f>S35*(1-B16)*(1+B13)+T33*B8/12</f>
      </c>
      <c r="U35" s="18">
        <f>T35*(1-B16)*(1+B13)+U33*B8/12</f>
      </c>
      <c r="V35" s="18">
        <f>U35*(1-B16)*(1+B13)+V33*B8/12</f>
      </c>
      <c r="W35" s="18">
        <f>V35*(1-B16)*(1+B13)+W33*B8/12</f>
      </c>
      <c r="X35" s="18">
        <f>W35*(1-B16)*(1+B13)+X33*B8/12</f>
      </c>
      <c r="Y35" s="18">
        <f>X35*(1-B16)*(1+B13)+Y33*B8/12</f>
      </c>
      <c r="Z35" s="18">
        <f>SUM(B35:D35)</f>
      </c>
      <c r="AA35" s="18">
        <f>SUM(E35:G35)</f>
      </c>
      <c r="AB35" s="18">
        <f>SUM(H35:J35)</f>
      </c>
      <c r="AC35" s="18">
        <f>SUM(K35:M35)</f>
      </c>
      <c r="AD35" s="19">
        <f>SUM(Z35:AC35)</f>
      </c>
      <c r="AE35" s="18">
        <f>SUM(N35:P35)</f>
      </c>
      <c r="AF35" s="18">
        <f>SUM(Q35:S35)</f>
      </c>
      <c r="AG35" s="18">
        <f>SUM(T35:V35)</f>
      </c>
      <c r="AH35" s="18">
        <f>SUM(W35:Y35)</f>
      </c>
      <c r="AI35" s="19">
        <f>SUM(AE35:AH35)</f>
      </c>
      <c r="AJ35" s="20">
        <f>AD35+AI35</f>
      </c>
    </row>
    <row r="36" spans="1:36" x14ac:dyDescent="0.25">
      <c r="A36" s="5" t="s">
        <v>74</v>
      </c>
      <c r="B36" s="21">
        <f>B35*12</f>
      </c>
      <c r="C36" s="21">
        <f>C35*12</f>
      </c>
      <c r="D36" s="21">
        <f>D35*12</f>
      </c>
      <c r="E36" s="21">
        <f>E35*12</f>
      </c>
      <c r="F36" s="21">
        <f>F35*12</f>
      </c>
      <c r="G36" s="21">
        <f>G35*12</f>
      </c>
      <c r="H36" s="21">
        <f>H35*12</f>
      </c>
      <c r="I36" s="21">
        <f>I35*12</f>
      </c>
      <c r="J36" s="21">
        <f>J35*12</f>
      </c>
      <c r="K36" s="21">
        <f>K35*12</f>
      </c>
      <c r="L36" s="21">
        <f>L35*12</f>
      </c>
      <c r="M36" s="21">
        <f>M35*12</f>
      </c>
      <c r="N36" s="21">
        <f>N35*12</f>
      </c>
      <c r="O36" s="21">
        <f>O35*12</f>
      </c>
      <c r="P36" s="21">
        <f>P35*12</f>
      </c>
      <c r="Q36" s="21">
        <f>Q35*12</f>
      </c>
      <c r="R36" s="21">
        <f>R35*12</f>
      </c>
      <c r="S36" s="21">
        <f>S35*12</f>
      </c>
      <c r="T36" s="21">
        <f>T35*12</f>
      </c>
      <c r="U36" s="21">
        <f>U35*12</f>
      </c>
      <c r="V36" s="21">
        <f>V35*12</f>
      </c>
      <c r="W36" s="21">
        <f>W35*12</f>
      </c>
      <c r="X36" s="21">
        <f>X35*12</f>
      </c>
      <c r="Y36" s="21">
        <f>Y35*12</f>
      </c>
      <c r="Z36" s="21">
        <f>D36</f>
      </c>
      <c r="AA36" s="21">
        <f>G36</f>
      </c>
      <c r="AB36" s="21">
        <f>J36</f>
      </c>
      <c r="AC36" s="21">
        <f>M36</f>
      </c>
      <c r="AD36" s="21">
        <f>M36</f>
      </c>
      <c r="AE36" s="21">
        <f>P36</f>
      </c>
      <c r="AF36" s="21">
        <f>S36</f>
      </c>
      <c r="AG36" s="21">
        <f>V36</f>
      </c>
      <c r="AH36" s="21">
        <f>Y36</f>
      </c>
      <c r="AI36" s="21">
        <f>Y36</f>
      </c>
      <c r="AJ36" s="21">
        <f>Y36</f>
      </c>
    </row>
    <row r="38" spans="1:1" x14ac:dyDescent="0.25">
      <c r="A38" s="13" t="s">
        <v>75</v>
      </c>
    </row>
    <row r="39" spans="1:36" x14ac:dyDescent="0.25">
      <c r="A39" t="s">
        <v>76</v>
      </c>
      <c r="B39" s="14">
        <f>C40/B20</f>
      </c>
      <c r="C39" s="14">
        <f>D40/B20</f>
      </c>
      <c r="D39" s="14">
        <f>E40/B20</f>
      </c>
      <c r="E39" s="14">
        <f>F40/B20</f>
      </c>
      <c r="F39" s="14">
        <f>G40/B20</f>
      </c>
      <c r="G39" s="14">
        <f>H40/B20</f>
      </c>
      <c r="H39" s="14">
        <f>I40/B20</f>
      </c>
      <c r="I39" s="14">
        <f>J40/B20</f>
      </c>
      <c r="J39" s="14">
        <f>K40/B20</f>
      </c>
      <c r="K39" s="14">
        <f>L40/B20</f>
      </c>
      <c r="L39" s="14">
        <f>M40/B20</f>
      </c>
      <c r="M39" s="14">
        <f>N40/B20</f>
      </c>
      <c r="N39" s="14">
        <f>O40/B20</f>
      </c>
      <c r="O39" s="14">
        <f>P40/B20</f>
      </c>
      <c r="P39" s="14">
        <f>Q40/B20</f>
      </c>
      <c r="Q39" s="14">
        <f>R40/B20</f>
      </c>
      <c r="R39" s="14">
        <f>S40/B20</f>
      </c>
      <c r="S39" s="14">
        <f>T40/B20</f>
      </c>
      <c r="T39" s="14">
        <f>U40/B20</f>
      </c>
      <c r="U39" s="14">
        <f>V40/B20</f>
      </c>
      <c r="V39" s="14">
        <f>W40/B20</f>
      </c>
      <c r="W39" s="14">
        <f>X40/B20</f>
      </c>
      <c r="X39" s="14">
        <f>Y40/B20</f>
      </c>
      <c r="Y39" s="14">
        <f>Y40/B20</f>
      </c>
      <c r="Z39" s="14">
        <f>SUM(B39:D39)</f>
      </c>
      <c r="AA39" s="14">
        <f>SUM(E39:G39)</f>
      </c>
      <c r="AB39" s="14">
        <f>SUM(H39:J39)</f>
      </c>
      <c r="AC39" s="14">
        <f>SUM(K39:M39)</f>
      </c>
      <c r="AD39" s="15">
        <f>SUM(Z39:AC39)</f>
      </c>
      <c r="AE39" s="14">
        <f>SUM(N39:P39)</f>
      </c>
      <c r="AF39" s="14">
        <f>SUM(Q39:S39)</f>
      </c>
      <c r="AG39" s="14">
        <f>SUM(T39:V39)</f>
      </c>
      <c r="AH39" s="14">
        <f>SUM(W39:Y39)</f>
      </c>
      <c r="AI39" s="15">
        <f>SUM(AE39:AH39)</f>
      </c>
      <c r="AJ39" s="16">
        <f>AD39+AI39</f>
      </c>
    </row>
    <row r="40" spans="1:36" x14ac:dyDescent="0.25">
      <c r="A40" t="s">
        <v>77</v>
      </c>
      <c r="B40" s="22">
        <v>0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14">
        <f>SUM(B40:D40)</f>
      </c>
      <c r="AA40" s="14">
        <f>SUM(E40:G40)</f>
      </c>
      <c r="AB40" s="14">
        <f>SUM(H40:J40)</f>
      </c>
      <c r="AC40" s="14">
        <f>SUM(K40:M40)</f>
      </c>
      <c r="AD40" s="15">
        <f>SUM(Z40:AC40)</f>
      </c>
      <c r="AE40" s="14">
        <f>SUM(N40:P40)</f>
      </c>
      <c r="AF40" s="14">
        <f>SUM(Q40:S40)</f>
      </c>
      <c r="AG40" s="14">
        <f>SUM(T40:V40)</f>
      </c>
      <c r="AH40" s="14">
        <f>SUM(W40:Y40)</f>
      </c>
      <c r="AI40" s="15">
        <f>SUM(AE40:AH40)</f>
      </c>
      <c r="AJ40" s="16">
        <f>AD40+AI40</f>
      </c>
    </row>
    <row r="41" spans="1:36" x14ac:dyDescent="0.25">
      <c r="A41" t="s">
        <v>78</v>
      </c>
      <c r="B41" s="14">
        <f>B40</f>
      </c>
      <c r="C41" s="14">
        <f>B41*(1-B17)+C40</f>
      </c>
      <c r="D41" s="14">
        <f>C41*(1-B17)+D40</f>
      </c>
      <c r="E41" s="14">
        <f>D41*(1-B17)+E40</f>
      </c>
      <c r="F41" s="14">
        <f>E41*(1-B17)+F40</f>
      </c>
      <c r="G41" s="14">
        <f>F41*(1-B17)+G40</f>
      </c>
      <c r="H41" s="14">
        <f>G41*(1-B17)+H40</f>
      </c>
      <c r="I41" s="14">
        <f>H41*(1-B17)+I40</f>
      </c>
      <c r="J41" s="14">
        <f>I41*(1-B17)+J40</f>
      </c>
      <c r="K41" s="14">
        <f>J41*(1-B17)+K40</f>
      </c>
      <c r="L41" s="14">
        <f>K41*(1-B17)+L40</f>
      </c>
      <c r="M41" s="14">
        <f>L41*(1-B17)+M40</f>
      </c>
      <c r="N41" s="14">
        <f>M41*(1-B17)+N40</f>
      </c>
      <c r="O41" s="14">
        <f>N41*(1-B17)+O40</f>
      </c>
      <c r="P41" s="14">
        <f>O41*(1-B17)+P40</f>
      </c>
      <c r="Q41" s="14">
        <f>P41*(1-B17)+Q40</f>
      </c>
      <c r="R41" s="14">
        <f>Q41*(1-B17)+R40</f>
      </c>
      <c r="S41" s="14">
        <f>R41*(1-B17)+S40</f>
      </c>
      <c r="T41" s="14">
        <f>S41*(1-B17)+T40</f>
      </c>
      <c r="U41" s="14">
        <f>T41*(1-B17)+U40</f>
      </c>
      <c r="V41" s="14">
        <f>U41*(1-B17)+V40</f>
      </c>
      <c r="W41" s="14">
        <f>V41*(1-B17)+W40</f>
      </c>
      <c r="X41" s="14">
        <f>W41*(1-B17)+X40</f>
      </c>
      <c r="Y41" s="14">
        <f>X41*(1-B17)+Y40</f>
      </c>
      <c r="Z41" s="14">
        <f>D41</f>
      </c>
      <c r="AA41" s="14">
        <f>G41</f>
      </c>
      <c r="AB41" s="14">
        <f>J41</f>
      </c>
      <c r="AC41" s="14">
        <f>M41</f>
      </c>
      <c r="AD41" s="14">
        <f>M41</f>
      </c>
      <c r="AE41" s="14">
        <f>P41</f>
      </c>
      <c r="AF41" s="14">
        <f>S41</f>
      </c>
      <c r="AG41" s="14">
        <f>V41</f>
      </c>
      <c r="AH41" s="14">
        <f>Y41</f>
      </c>
      <c r="AI41" s="14">
        <f>Y41</f>
      </c>
      <c r="AJ41" s="14">
        <f>Y41</f>
      </c>
    </row>
    <row r="42" spans="1:36" x14ac:dyDescent="0.25">
      <c r="A42" t="s">
        <v>79</v>
      </c>
      <c r="B42" s="18">
        <f>B41*B9/12</f>
      </c>
      <c r="C42" s="18">
        <f>B42*(1-B17)*(1+B14)+C40*B9/12</f>
      </c>
      <c r="D42" s="18">
        <f>C42*(1-B17)*(1+B14)+D40*B9/12</f>
      </c>
      <c r="E42" s="18">
        <f>D42*(1-B17)*(1+B14)+E40*B9/12</f>
      </c>
      <c r="F42" s="18">
        <f>E42*(1-B17)*(1+B14)+F40*B9/12</f>
      </c>
      <c r="G42" s="18">
        <f>F42*(1-B17)*(1+B14)+G40*B9/12</f>
      </c>
      <c r="H42" s="18">
        <f>G42*(1-B17)*(1+B14)+H40*B9/12</f>
      </c>
      <c r="I42" s="18">
        <f>H42*(1-B17)*(1+B14)+I40*B9/12</f>
      </c>
      <c r="J42" s="18">
        <f>I42*(1-B17)*(1+B14)+J40*B9/12</f>
      </c>
      <c r="K42" s="18">
        <f>J42*(1-B17)*(1+B14)+K40*B9/12</f>
      </c>
      <c r="L42" s="18">
        <f>K42*(1-B17)*(1+B14)+L40*B9/12</f>
      </c>
      <c r="M42" s="18">
        <f>L42*(1-B17)*(1+B14)+M40*B9/12</f>
      </c>
      <c r="N42" s="18">
        <f>M42*(1-B17)*(1+B14)+N40*B9/12</f>
      </c>
      <c r="O42" s="18">
        <f>N42*(1-B17)*(1+B14)+O40*B9/12</f>
      </c>
      <c r="P42" s="18">
        <f>O42*(1-B17)*(1+B14)+P40*B9/12</f>
      </c>
      <c r="Q42" s="18">
        <f>P42*(1-B17)*(1+B14)+Q40*B9/12</f>
      </c>
      <c r="R42" s="18">
        <f>Q42*(1-B17)*(1+B14)+R40*B9/12</f>
      </c>
      <c r="S42" s="18">
        <f>R42*(1-B17)*(1+B14)+S40*B9/12</f>
      </c>
      <c r="T42" s="18">
        <f>S42*(1-B17)*(1+B14)+T40*B9/12</f>
      </c>
      <c r="U42" s="18">
        <f>T42*(1-B17)*(1+B14)+U40*B9/12</f>
      </c>
      <c r="V42" s="18">
        <f>U42*(1-B17)*(1+B14)+V40*B9/12</f>
      </c>
      <c r="W42" s="18">
        <f>V42*(1-B17)*(1+B14)+W40*B9/12</f>
      </c>
      <c r="X42" s="18">
        <f>W42*(1-B17)*(1+B14)+X40*B9/12</f>
      </c>
      <c r="Y42" s="18">
        <f>X42*(1-B17)*(1+B14)+Y40*B9/12</f>
      </c>
      <c r="Z42" s="18">
        <f>SUM(B42:D42)</f>
      </c>
      <c r="AA42" s="18">
        <f>SUM(E42:G42)</f>
      </c>
      <c r="AB42" s="18">
        <f>SUM(H42:J42)</f>
      </c>
      <c r="AC42" s="18">
        <f>SUM(K42:M42)</f>
      </c>
      <c r="AD42" s="19">
        <f>SUM(Z42:AC42)</f>
      </c>
      <c r="AE42" s="18">
        <f>SUM(N42:P42)</f>
      </c>
      <c r="AF42" s="18">
        <f>SUM(Q42:S42)</f>
      </c>
      <c r="AG42" s="18">
        <f>SUM(T42:V42)</f>
      </c>
      <c r="AH42" s="18">
        <f>SUM(W42:Y42)</f>
      </c>
      <c r="AI42" s="19">
        <f>SUM(AE42:AH42)</f>
      </c>
      <c r="AJ42" s="20">
        <f>AD42+AI42</f>
      </c>
    </row>
    <row r="43" spans="1:36" x14ac:dyDescent="0.25">
      <c r="A43" s="5" t="s">
        <v>80</v>
      </c>
      <c r="B43" s="21">
        <f>B42*12</f>
      </c>
      <c r="C43" s="21">
        <f>C42*12</f>
      </c>
      <c r="D43" s="21">
        <f>D42*12</f>
      </c>
      <c r="E43" s="21">
        <f>E42*12</f>
      </c>
      <c r="F43" s="21">
        <f>F42*12</f>
      </c>
      <c r="G43" s="21">
        <f>G42*12</f>
      </c>
      <c r="H43" s="21">
        <f>H42*12</f>
      </c>
      <c r="I43" s="21">
        <f>I42*12</f>
      </c>
      <c r="J43" s="21">
        <f>J42*12</f>
      </c>
      <c r="K43" s="21">
        <f>K42*12</f>
      </c>
      <c r="L43" s="21">
        <f>L42*12</f>
      </c>
      <c r="M43" s="21">
        <f>M42*12</f>
      </c>
      <c r="N43" s="21">
        <f>N42*12</f>
      </c>
      <c r="O43" s="21">
        <f>O42*12</f>
      </c>
      <c r="P43" s="21">
        <f>P42*12</f>
      </c>
      <c r="Q43" s="21">
        <f>Q42*12</f>
      </c>
      <c r="R43" s="21">
        <f>R42*12</f>
      </c>
      <c r="S43" s="21">
        <f>S42*12</f>
      </c>
      <c r="T43" s="21">
        <f>T42*12</f>
      </c>
      <c r="U43" s="21">
        <f>U42*12</f>
      </c>
      <c r="V43" s="21">
        <f>V42*12</f>
      </c>
      <c r="W43" s="21">
        <f>W42*12</f>
      </c>
      <c r="X43" s="21">
        <f>X42*12</f>
      </c>
      <c r="Y43" s="21">
        <f>Y42*12</f>
      </c>
      <c r="Z43" s="21">
        <f>D43</f>
      </c>
      <c r="AA43" s="21">
        <f>G43</f>
      </c>
      <c r="AB43" s="21">
        <f>J43</f>
      </c>
      <c r="AC43" s="21">
        <f>M43</f>
      </c>
      <c r="AD43" s="21">
        <f>M43</f>
      </c>
      <c r="AE43" s="21">
        <f>P43</f>
      </c>
      <c r="AF43" s="21">
        <f>S43</f>
      </c>
      <c r="AG43" s="21">
        <f>V43</f>
      </c>
      <c r="AH43" s="21">
        <f>Y43</f>
      </c>
      <c r="AI43" s="21">
        <f>Y43</f>
      </c>
      <c r="AJ43" s="21">
        <f>Y43</f>
      </c>
    </row>
    <row r="45" spans="1:1" x14ac:dyDescent="0.25">
      <c r="A45" s="23" t="s">
        <v>81</v>
      </c>
    </row>
    <row r="46" spans="1:36" x14ac:dyDescent="0.25">
      <c r="A46" s="5" t="s">
        <v>82</v>
      </c>
      <c r="B46" s="24">
        <f>B27+B34+B41</f>
      </c>
      <c r="C46" s="24">
        <f>C27+C34+C41</f>
      </c>
      <c r="D46" s="24">
        <f>D27+D34+D41</f>
      </c>
      <c r="E46" s="24">
        <f>E27+E34+E41</f>
      </c>
      <c r="F46" s="24">
        <f>F27+F34+F41</f>
      </c>
      <c r="G46" s="24">
        <f>G27+G34+G41</f>
      </c>
      <c r="H46" s="24">
        <f>H27+H34+H41</f>
      </c>
      <c r="I46" s="24">
        <f>I27+I34+I41</f>
      </c>
      <c r="J46" s="24">
        <f>J27+J34+J41</f>
      </c>
      <c r="K46" s="24">
        <f>K27+K34+K41</f>
      </c>
      <c r="L46" s="24">
        <f>L27+L34+L41</f>
      </c>
      <c r="M46" s="24">
        <f>M27+M34+M41</f>
      </c>
      <c r="N46" s="24">
        <f>N27+N34+N41</f>
      </c>
      <c r="O46" s="24">
        <f>O27+O34+O41</f>
      </c>
      <c r="P46" s="24">
        <f>P27+P34+P41</f>
      </c>
      <c r="Q46" s="24">
        <f>Q27+Q34+Q41</f>
      </c>
      <c r="R46" s="24">
        <f>R27+R34+R41</f>
      </c>
      <c r="S46" s="24">
        <f>S27+S34+S41</f>
      </c>
      <c r="T46" s="24">
        <f>T27+T34+T41</f>
      </c>
      <c r="U46" s="24">
        <f>U27+U34+U41</f>
      </c>
      <c r="V46" s="24">
        <f>V27+V34+V41</f>
      </c>
      <c r="W46" s="24">
        <f>W27+W34+W41</f>
      </c>
      <c r="X46" s="24">
        <f>X27+X34+X41</f>
      </c>
      <c r="Y46" s="24">
        <f>Y27+Y34+Y41</f>
      </c>
      <c r="Z46" s="24">
        <f>D46</f>
      </c>
      <c r="AA46" s="24">
        <f>G46</f>
      </c>
      <c r="AB46" s="24">
        <f>J46</f>
      </c>
      <c r="AC46" s="24">
        <f>M46</f>
      </c>
      <c r="AD46" s="24">
        <f>M46</f>
      </c>
      <c r="AE46" s="24">
        <f>P46</f>
      </c>
      <c r="AF46" s="24">
        <f>S46</f>
      </c>
      <c r="AG46" s="24">
        <f>V46</f>
      </c>
      <c r="AH46" s="24">
        <f>Y46</f>
      </c>
      <c r="AI46" s="24">
        <f>Y46</f>
      </c>
      <c r="AJ46" s="24">
        <f>Y46</f>
      </c>
    </row>
    <row r="47" spans="1:36" x14ac:dyDescent="0.25">
      <c r="A47" s="5" t="s">
        <v>83</v>
      </c>
      <c r="B47" s="19">
        <f>B28+B35+B42</f>
      </c>
      <c r="C47" s="19">
        <f>C28+C35+C42</f>
      </c>
      <c r="D47" s="19">
        <f>D28+D35+D42</f>
      </c>
      <c r="E47" s="19">
        <f>E28+E35+E42</f>
      </c>
      <c r="F47" s="19">
        <f>F28+F35+F42</f>
      </c>
      <c r="G47" s="19">
        <f>G28+G35+G42</f>
      </c>
      <c r="H47" s="19">
        <f>H28+H35+H42</f>
      </c>
      <c r="I47" s="19">
        <f>I28+I35+I42</f>
      </c>
      <c r="J47" s="19">
        <f>J28+J35+J42</f>
      </c>
      <c r="K47" s="19">
        <f>K28+K35+K42</f>
      </c>
      <c r="L47" s="19">
        <f>L28+L35+L42</f>
      </c>
      <c r="M47" s="19">
        <f>M28+M35+M42</f>
      </c>
      <c r="N47" s="19">
        <f>N28+N35+N42</f>
      </c>
      <c r="O47" s="19">
        <f>O28+O35+O42</f>
      </c>
      <c r="P47" s="19">
        <f>P28+P35+P42</f>
      </c>
      <c r="Q47" s="19">
        <f>Q28+Q35+Q42</f>
      </c>
      <c r="R47" s="19">
        <f>R28+R35+R42</f>
      </c>
      <c r="S47" s="19">
        <f>S28+S35+S42</f>
      </c>
      <c r="T47" s="19">
        <f>T28+T35+T42</f>
      </c>
      <c r="U47" s="19">
        <f>U28+U35+U42</f>
      </c>
      <c r="V47" s="19">
        <f>V28+V35+V42</f>
      </c>
      <c r="W47" s="19">
        <f>W28+W35+W42</f>
      </c>
      <c r="X47" s="19">
        <f>X28+X35+X42</f>
      </c>
      <c r="Y47" s="19">
        <f>Y28+Y35+Y42</f>
      </c>
      <c r="Z47" s="18">
        <f>SUM(B47:D47)</f>
      </c>
      <c r="AA47" s="18">
        <f>SUM(E47:G47)</f>
      </c>
      <c r="AB47" s="18">
        <f>SUM(H47:J47)</f>
      </c>
      <c r="AC47" s="18">
        <f>SUM(K47:M47)</f>
      </c>
      <c r="AD47" s="19">
        <f>SUM(Z47:AC47)</f>
      </c>
      <c r="AE47" s="18">
        <f>SUM(N47:P47)</f>
      </c>
      <c r="AF47" s="18">
        <f>SUM(Q47:S47)</f>
      </c>
      <c r="AG47" s="18">
        <f>SUM(T47:V47)</f>
      </c>
      <c r="AH47" s="18">
        <f>SUM(W47:Y47)</f>
      </c>
      <c r="AI47" s="19">
        <f>SUM(AE47:AH47)</f>
      </c>
      <c r="AJ47" s="20">
        <f>AD47+AI47</f>
      </c>
    </row>
    <row r="48" spans="1:36" x14ac:dyDescent="0.25">
      <c r="A48" s="5" t="s">
        <v>84</v>
      </c>
      <c r="B48" s="20">
        <f>B29+B36+B43</f>
      </c>
      <c r="C48" s="20">
        <f>C29+C36+C43</f>
      </c>
      <c r="D48" s="20">
        <f>D29+D36+D43</f>
      </c>
      <c r="E48" s="20">
        <f>E29+E36+E43</f>
      </c>
      <c r="F48" s="20">
        <f>F29+F36+F43</f>
      </c>
      <c r="G48" s="20">
        <f>G29+G36+G43</f>
      </c>
      <c r="H48" s="20">
        <f>H29+H36+H43</f>
      </c>
      <c r="I48" s="20">
        <f>I29+I36+I43</f>
      </c>
      <c r="J48" s="20">
        <f>J29+J36+J43</f>
      </c>
      <c r="K48" s="20">
        <f>K29+K36+K43</f>
      </c>
      <c r="L48" s="20">
        <f>L29+L36+L43</f>
      </c>
      <c r="M48" s="20">
        <f>M29+M36+M43</f>
      </c>
      <c r="N48" s="20">
        <f>N29+N36+N43</f>
      </c>
      <c r="O48" s="20">
        <f>O29+O36+O43</f>
      </c>
      <c r="P48" s="20">
        <f>P29+P36+P43</f>
      </c>
      <c r="Q48" s="20">
        <f>Q29+Q36+Q43</f>
      </c>
      <c r="R48" s="20">
        <f>R29+R36+R43</f>
      </c>
      <c r="S48" s="20">
        <f>S29+S36+S43</f>
      </c>
      <c r="T48" s="20">
        <f>T29+T36+T43</f>
      </c>
      <c r="U48" s="20">
        <f>U29+U36+U43</f>
      </c>
      <c r="V48" s="20">
        <f>V29+V36+V43</f>
      </c>
      <c r="W48" s="20">
        <f>W29+W36+W43</f>
      </c>
      <c r="X48" s="20">
        <f>X29+X36+X43</f>
      </c>
      <c r="Y48" s="20">
        <f>Y29+Y36+Y43</f>
      </c>
      <c r="Z48" s="20">
        <f>D48</f>
      </c>
      <c r="AA48" s="20">
        <f>G48</f>
      </c>
      <c r="AB48" s="20">
        <f>J48</f>
      </c>
      <c r="AC48" s="20">
        <f>M48</f>
      </c>
      <c r="AD48" s="20">
        <f>M48</f>
      </c>
      <c r="AE48" s="20">
        <f>P48</f>
      </c>
      <c r="AF48" s="20">
        <f>S48</f>
      </c>
      <c r="AG48" s="20">
        <f>V48</f>
      </c>
      <c r="AH48" s="20">
        <f>Y48</f>
      </c>
      <c r="AI48" s="20">
        <f>Y48</f>
      </c>
      <c r="AJ48" s="20">
        <f>Y48</f>
      </c>
    </row>
    <row r="49" spans="1:36" x14ac:dyDescent="0.25">
      <c r="A49" s="25" t="s">
        <v>85</v>
      </c>
      <c r="B49" s="26">
        <f>B47</f>
      </c>
      <c r="C49" s="26">
        <f>B49+C47</f>
      </c>
      <c r="D49" s="26">
        <f>C49+D47</f>
      </c>
      <c r="E49" s="26">
        <f>D49+E47</f>
      </c>
      <c r="F49" s="26">
        <f>E49+F47</f>
      </c>
      <c r="G49" s="26">
        <f>F49+G47</f>
      </c>
      <c r="H49" s="26">
        <f>G49+H47</f>
      </c>
      <c r="I49" s="26">
        <f>H49+I47</f>
      </c>
      <c r="J49" s="26">
        <f>I49+J47</f>
      </c>
      <c r="K49" s="26">
        <f>J49+K47</f>
      </c>
      <c r="L49" s="26">
        <f>K49+L47</f>
      </c>
      <c r="M49" s="26">
        <f>L49+M47</f>
      </c>
      <c r="N49" s="26">
        <f>M49+N47</f>
      </c>
      <c r="O49" s="26">
        <f>N49+O47</f>
      </c>
      <c r="P49" s="26">
        <f>O49+P47</f>
      </c>
      <c r="Q49" s="26">
        <f>P49+Q47</f>
      </c>
      <c r="R49" s="26">
        <f>Q49+R47</f>
      </c>
      <c r="S49" s="26">
        <f>R49+S47</f>
      </c>
      <c r="T49" s="26">
        <f>S49+T47</f>
      </c>
      <c r="U49" s="26">
        <f>T49+U47</f>
      </c>
      <c r="V49" s="26">
        <f>U49+V47</f>
      </c>
      <c r="W49" s="26">
        <f>V49+W47</f>
      </c>
      <c r="X49" s="26">
        <f>W49+X47</f>
      </c>
      <c r="Y49" s="26">
        <f>X49+Y47</f>
      </c>
      <c r="Z49" s="18">
        <f>SUM(B49:D49)</f>
      </c>
      <c r="AA49" s="18">
        <f>SUM(E49:G49)</f>
      </c>
      <c r="AB49" s="18">
        <f>SUM(H49:J49)</f>
      </c>
      <c r="AC49" s="18">
        <f>SUM(K49:M49)</f>
      </c>
      <c r="AD49" s="19">
        <f>SUM(Z49:AC49)</f>
      </c>
      <c r="AE49" s="18">
        <f>SUM(N49:P49)</f>
      </c>
      <c r="AF49" s="18">
        <f>SUM(Q49:S49)</f>
      </c>
      <c r="AG49" s="18">
        <f>SUM(T49:V49)</f>
      </c>
      <c r="AH49" s="18">
        <f>SUM(W49:Y49)</f>
      </c>
      <c r="AI49" s="19">
        <f>SUM(AE49:AH49)</f>
      </c>
      <c r="AJ49" s="20">
        <f>AD49+AI49</f>
      </c>
    </row>
  </sheetData>
  <mergeCells count="4">
    <mergeCell ref="A1:E1"/>
    <mergeCell ref="A2:E2"/>
    <mergeCell ref="A3:E3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2025-11-10T12:43:14Z</dcterms:created>
  <dcterms:modified xsi:type="dcterms:W3CDTF">2025-11-10T12:43:14Z</dcterms:modified>
</cp:coreProperties>
</file>