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0" documentId="8_{6DB8B763-AAB8-1D4C-82DB-9A5E661D3598}" xr6:coauthVersionLast="47" xr6:coauthVersionMax="47" xr10:uidLastSave="{00000000-0000-0000-0000-000000000000}"/>
  <bookViews>
    <workbookView xWindow="-9220" yWindow="-28120" windowWidth="44360" windowHeight="25160" xr2:uid="{00000000-000D-0000-FFFF-FFFF00000000}"/>
  </bookViews>
  <sheets>
    <sheet name="Revenue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1" i="1"/>
  <c r="C41" i="1" s="1"/>
  <c r="AH40" i="1"/>
  <c r="AG40" i="1"/>
  <c r="AF40" i="1"/>
  <c r="AE40" i="1"/>
  <c r="AI40" i="1" s="1"/>
  <c r="AC40" i="1"/>
  <c r="AD40" i="1" s="1"/>
  <c r="AJ40" i="1" s="1"/>
  <c r="AB40" i="1"/>
  <c r="AA40" i="1"/>
  <c r="Z40" i="1"/>
  <c r="AH39" i="1"/>
  <c r="AG39" i="1"/>
  <c r="AC39" i="1"/>
  <c r="AB39" i="1"/>
  <c r="Y39" i="1"/>
  <c r="X39" i="1"/>
  <c r="W39" i="1"/>
  <c r="V39" i="1"/>
  <c r="U39" i="1"/>
  <c r="T39" i="1"/>
  <c r="S39" i="1"/>
  <c r="R39" i="1"/>
  <c r="Q39" i="1"/>
  <c r="AF39" i="1" s="1"/>
  <c r="P39" i="1"/>
  <c r="O39" i="1"/>
  <c r="N39" i="1"/>
  <c r="M39" i="1"/>
  <c r="L39" i="1"/>
  <c r="K39" i="1"/>
  <c r="J39" i="1"/>
  <c r="I39" i="1"/>
  <c r="H39" i="1"/>
  <c r="G39" i="1"/>
  <c r="F39" i="1"/>
  <c r="E39" i="1"/>
  <c r="AA39" i="1" s="1"/>
  <c r="D39" i="1"/>
  <c r="C39" i="1"/>
  <c r="B39" i="1"/>
  <c r="Z39" i="1" s="1"/>
  <c r="AD39" i="1" s="1"/>
  <c r="B35" i="1"/>
  <c r="B34" i="1"/>
  <c r="C34" i="1" s="1"/>
  <c r="D34" i="1" s="1"/>
  <c r="E34" i="1" s="1"/>
  <c r="F34" i="1" s="1"/>
  <c r="G34" i="1" s="1"/>
  <c r="AH33" i="1"/>
  <c r="AG33" i="1"/>
  <c r="AI33" i="1" s="1"/>
  <c r="AF33" i="1"/>
  <c r="AE33" i="1"/>
  <c r="AC33" i="1"/>
  <c r="AB33" i="1"/>
  <c r="AA33" i="1"/>
  <c r="Z33" i="1"/>
  <c r="AD33" i="1" s="1"/>
  <c r="AG32" i="1"/>
  <c r="AA32" i="1"/>
  <c r="Y32" i="1"/>
  <c r="X32" i="1"/>
  <c r="W32" i="1"/>
  <c r="AH32" i="1" s="1"/>
  <c r="V32" i="1"/>
  <c r="U32" i="1"/>
  <c r="T32" i="1"/>
  <c r="S32" i="1"/>
  <c r="R32" i="1"/>
  <c r="Q32" i="1"/>
  <c r="AF32" i="1" s="1"/>
  <c r="P32" i="1"/>
  <c r="AE32" i="1" s="1"/>
  <c r="AI32" i="1" s="1"/>
  <c r="O32" i="1"/>
  <c r="N32" i="1"/>
  <c r="M32" i="1"/>
  <c r="L32" i="1"/>
  <c r="K32" i="1"/>
  <c r="J32" i="1"/>
  <c r="I32" i="1"/>
  <c r="AB32" i="1" s="1"/>
  <c r="H32" i="1"/>
  <c r="G32" i="1"/>
  <c r="F32" i="1"/>
  <c r="E32" i="1"/>
  <c r="D32" i="1"/>
  <c r="Z32" i="1" s="1"/>
  <c r="C32" i="1"/>
  <c r="B32" i="1"/>
  <c r="B28" i="1"/>
  <c r="B29" i="1" s="1"/>
  <c r="C27" i="1"/>
  <c r="D27" i="1" s="1"/>
  <c r="B27" i="1"/>
  <c r="AH26" i="1"/>
  <c r="AG26" i="1"/>
  <c r="AF26" i="1"/>
  <c r="AE26" i="1"/>
  <c r="AI26" i="1" s="1"/>
  <c r="AD26" i="1"/>
  <c r="AJ26" i="1" s="1"/>
  <c r="AC26" i="1"/>
  <c r="AB26" i="1"/>
  <c r="AA26" i="1"/>
  <c r="Z26" i="1"/>
  <c r="Y25" i="1"/>
  <c r="X25" i="1"/>
  <c r="W25" i="1"/>
  <c r="AH25" i="1" s="1"/>
  <c r="V25" i="1"/>
  <c r="U25" i="1"/>
  <c r="T25" i="1"/>
  <c r="S25" i="1"/>
  <c r="R25" i="1"/>
  <c r="Q25" i="1"/>
  <c r="AF25" i="1" s="1"/>
  <c r="P25" i="1"/>
  <c r="O25" i="1"/>
  <c r="N25" i="1"/>
  <c r="AE25" i="1" s="1"/>
  <c r="M25" i="1"/>
  <c r="L25" i="1"/>
  <c r="K25" i="1"/>
  <c r="AC25" i="1" s="1"/>
  <c r="J25" i="1"/>
  <c r="I25" i="1"/>
  <c r="H25" i="1"/>
  <c r="AB25" i="1" s="1"/>
  <c r="G25" i="1"/>
  <c r="AA25" i="1" s="1"/>
  <c r="F25" i="1"/>
  <c r="E25" i="1"/>
  <c r="D25" i="1"/>
  <c r="C25" i="1"/>
  <c r="B25" i="1"/>
  <c r="Z25" i="1" s="1"/>
  <c r="AA34" i="1" l="1"/>
  <c r="H34" i="1"/>
  <c r="I34" i="1" s="1"/>
  <c r="J34" i="1" s="1"/>
  <c r="AJ33" i="1"/>
  <c r="AD32" i="1"/>
  <c r="AJ32" i="1" s="1"/>
  <c r="D41" i="1"/>
  <c r="C46" i="1"/>
  <c r="Z27" i="1"/>
  <c r="E27" i="1"/>
  <c r="D46" i="1"/>
  <c r="Z46" i="1" s="1"/>
  <c r="B42" i="1"/>
  <c r="B47" i="1" s="1"/>
  <c r="AC32" i="1"/>
  <c r="B36" i="1"/>
  <c r="C35" i="1"/>
  <c r="Z34" i="1"/>
  <c r="C28" i="1"/>
  <c r="AD25" i="1"/>
  <c r="AG25" i="1"/>
  <c r="AI25" i="1" s="1"/>
  <c r="AE39" i="1"/>
  <c r="AI39" i="1" s="1"/>
  <c r="AJ39" i="1" s="1"/>
  <c r="B49" i="1" l="1"/>
  <c r="K34" i="1"/>
  <c r="L34" i="1" s="1"/>
  <c r="M34" i="1" s="1"/>
  <c r="AB34" i="1"/>
  <c r="F27" i="1"/>
  <c r="AJ25" i="1"/>
  <c r="D28" i="1"/>
  <c r="C29" i="1"/>
  <c r="C36" i="1"/>
  <c r="D35" i="1"/>
  <c r="B43" i="1"/>
  <c r="B48" i="1" s="1"/>
  <c r="C42" i="1"/>
  <c r="C47" i="1" s="1"/>
  <c r="E41" i="1"/>
  <c r="F41" i="1" s="1"/>
  <c r="G41" i="1" s="1"/>
  <c r="Z41" i="1"/>
  <c r="E46" i="1" l="1"/>
  <c r="F46" i="1"/>
  <c r="G27" i="1"/>
  <c r="AD34" i="1"/>
  <c r="AC34" i="1"/>
  <c r="N34" i="1"/>
  <c r="O34" i="1" s="1"/>
  <c r="P34" i="1" s="1"/>
  <c r="D36" i="1"/>
  <c r="Z36" i="1" s="1"/>
  <c r="E35" i="1"/>
  <c r="AA41" i="1"/>
  <c r="H41" i="1"/>
  <c r="I41" i="1" s="1"/>
  <c r="J41" i="1" s="1"/>
  <c r="C43" i="1"/>
  <c r="C48" i="1" s="1"/>
  <c r="D42" i="1"/>
  <c r="C49" i="1"/>
  <c r="Z35" i="1"/>
  <c r="E28" i="1"/>
  <c r="D29" i="1"/>
  <c r="Z28" i="1"/>
  <c r="D43" i="1" l="1"/>
  <c r="Z43" i="1" s="1"/>
  <c r="E42" i="1"/>
  <c r="Z42" i="1"/>
  <c r="E36" i="1"/>
  <c r="F35" i="1"/>
  <c r="AE34" i="1"/>
  <c r="Q34" i="1"/>
  <c r="R34" i="1" s="1"/>
  <c r="S34" i="1" s="1"/>
  <c r="E47" i="1"/>
  <c r="F28" i="1"/>
  <c r="E29" i="1"/>
  <c r="AB41" i="1"/>
  <c r="K41" i="1"/>
  <c r="L41" i="1" s="1"/>
  <c r="M41" i="1" s="1"/>
  <c r="Z29" i="1"/>
  <c r="D48" i="1"/>
  <c r="Z48" i="1" s="1"/>
  <c r="AA27" i="1"/>
  <c r="G46" i="1"/>
  <c r="AA46" i="1" s="1"/>
  <c r="H27" i="1"/>
  <c r="D47" i="1"/>
  <c r="Z47" i="1" s="1"/>
  <c r="D49" i="1"/>
  <c r="G28" i="1" l="1"/>
  <c r="F29" i="1"/>
  <c r="AF34" i="1"/>
  <c r="T34" i="1"/>
  <c r="U34" i="1" s="1"/>
  <c r="V34" i="1" s="1"/>
  <c r="E49" i="1"/>
  <c r="Z49" i="1"/>
  <c r="AA28" i="1"/>
  <c r="I27" i="1"/>
  <c r="H46" i="1"/>
  <c r="F36" i="1"/>
  <c r="G35" i="1"/>
  <c r="E43" i="1"/>
  <c r="E48" i="1" s="1"/>
  <c r="F42" i="1"/>
  <c r="N41" i="1"/>
  <c r="O41" i="1" s="1"/>
  <c r="P41" i="1" s="1"/>
  <c r="AD41" i="1"/>
  <c r="AC41" i="1"/>
  <c r="J27" i="1" l="1"/>
  <c r="I46" i="1"/>
  <c r="Q41" i="1"/>
  <c r="R41" i="1" s="1"/>
  <c r="S41" i="1" s="1"/>
  <c r="AE41" i="1"/>
  <c r="AG34" i="1"/>
  <c r="W34" i="1"/>
  <c r="X34" i="1" s="1"/>
  <c r="Y34" i="1" s="1"/>
  <c r="H35" i="1"/>
  <c r="G36" i="1"/>
  <c r="AA36" i="1" s="1"/>
  <c r="H28" i="1"/>
  <c r="G29" i="1"/>
  <c r="F43" i="1"/>
  <c r="F48" i="1" s="1"/>
  <c r="G42" i="1"/>
  <c r="AA42" i="1" s="1"/>
  <c r="F47" i="1"/>
  <c r="AA35" i="1"/>
  <c r="G47" i="1" l="1"/>
  <c r="AA29" i="1"/>
  <c r="I35" i="1"/>
  <c r="H36" i="1"/>
  <c r="AJ34" i="1"/>
  <c r="AH34" i="1"/>
  <c r="AI34" i="1"/>
  <c r="G43" i="1"/>
  <c r="AA43" i="1" s="1"/>
  <c r="H42" i="1"/>
  <c r="H47" i="1" s="1"/>
  <c r="H29" i="1"/>
  <c r="I28" i="1"/>
  <c r="AA47" i="1"/>
  <c r="T41" i="1"/>
  <c r="U41" i="1" s="1"/>
  <c r="V41" i="1" s="1"/>
  <c r="AF41" i="1"/>
  <c r="F49" i="1"/>
  <c r="AB27" i="1"/>
  <c r="K27" i="1"/>
  <c r="J46" i="1"/>
  <c r="AB46" i="1" s="1"/>
  <c r="I29" i="1" l="1"/>
  <c r="J28" i="1"/>
  <c r="AG41" i="1"/>
  <c r="W41" i="1"/>
  <c r="X41" i="1" s="1"/>
  <c r="Y41" i="1" s="1"/>
  <c r="G49" i="1"/>
  <c r="H49" i="1" s="1"/>
  <c r="AA49" i="1"/>
  <c r="J35" i="1"/>
  <c r="I36" i="1"/>
  <c r="G48" i="1"/>
  <c r="AA48" i="1" s="1"/>
  <c r="AB28" i="1"/>
  <c r="H43" i="1"/>
  <c r="H48" i="1" s="1"/>
  <c r="I42" i="1"/>
  <c r="I47" i="1" s="1"/>
  <c r="L27" i="1"/>
  <c r="K46" i="1"/>
  <c r="K35" i="1" l="1"/>
  <c r="J36" i="1"/>
  <c r="AB36" i="1" s="1"/>
  <c r="AB35" i="1"/>
  <c r="I49" i="1"/>
  <c r="L46" i="1"/>
  <c r="M27" i="1"/>
  <c r="AI41" i="1"/>
  <c r="AH41" i="1"/>
  <c r="AJ41" i="1"/>
  <c r="J29" i="1"/>
  <c r="K28" i="1"/>
  <c r="J42" i="1"/>
  <c r="AB42" i="1" s="1"/>
  <c r="I43" i="1"/>
  <c r="I48" i="1" s="1"/>
  <c r="K36" i="1" l="1"/>
  <c r="L35" i="1"/>
  <c r="K42" i="1"/>
  <c r="J43" i="1"/>
  <c r="AB43" i="1" s="1"/>
  <c r="AC27" i="1"/>
  <c r="N27" i="1"/>
  <c r="M46" i="1"/>
  <c r="AD27" i="1"/>
  <c r="J47" i="1"/>
  <c r="AB47" i="1" s="1"/>
  <c r="K29" i="1"/>
  <c r="L28" i="1"/>
  <c r="AB29" i="1"/>
  <c r="N46" i="1" l="1"/>
  <c r="O27" i="1"/>
  <c r="J49" i="1"/>
  <c r="L42" i="1"/>
  <c r="K43" i="1"/>
  <c r="K48" i="1" s="1"/>
  <c r="L36" i="1"/>
  <c r="M35" i="1"/>
  <c r="AC35" i="1" s="1"/>
  <c r="AD35" i="1" s="1"/>
  <c r="AC46" i="1"/>
  <c r="AD46" i="1"/>
  <c r="J48" i="1"/>
  <c r="AB48" i="1" s="1"/>
  <c r="L29" i="1"/>
  <c r="L47" i="1"/>
  <c r="M28" i="1"/>
  <c r="AC28" i="1" s="1"/>
  <c r="AD28" i="1" s="1"/>
  <c r="K47" i="1"/>
  <c r="M42" i="1" l="1"/>
  <c r="L43" i="1"/>
  <c r="L48" i="1" s="1"/>
  <c r="O46" i="1"/>
  <c r="P27" i="1"/>
  <c r="N35" i="1"/>
  <c r="M36" i="1"/>
  <c r="AC42" i="1"/>
  <c r="AD42" i="1" s="1"/>
  <c r="K49" i="1"/>
  <c r="AB49" i="1"/>
  <c r="M29" i="1"/>
  <c r="N28" i="1"/>
  <c r="N36" i="1" l="1"/>
  <c r="O35" i="1"/>
  <c r="AC29" i="1"/>
  <c r="AD29" i="1"/>
  <c r="L49" i="1"/>
  <c r="M49" i="1" s="1"/>
  <c r="AC36" i="1"/>
  <c r="AD36" i="1"/>
  <c r="AE27" i="1"/>
  <c r="Q27" i="1"/>
  <c r="P46" i="1"/>
  <c r="AE46" i="1" s="1"/>
  <c r="N42" i="1"/>
  <c r="N47" i="1" s="1"/>
  <c r="M43" i="1"/>
  <c r="M48" i="1" s="1"/>
  <c r="N29" i="1"/>
  <c r="O28" i="1"/>
  <c r="M47" i="1"/>
  <c r="AC47" i="1" s="1"/>
  <c r="AD47" i="1" s="1"/>
  <c r="N49" i="1" l="1"/>
  <c r="R27" i="1"/>
  <c r="Q46" i="1"/>
  <c r="AC49" i="1"/>
  <c r="AD49" i="1" s="1"/>
  <c r="AC48" i="1"/>
  <c r="AD48" i="1"/>
  <c r="N48" i="1"/>
  <c r="O29" i="1"/>
  <c r="O47" i="1"/>
  <c r="P28" i="1"/>
  <c r="O36" i="1"/>
  <c r="P35" i="1"/>
  <c r="AD43" i="1"/>
  <c r="AC43" i="1"/>
  <c r="N43" i="1"/>
  <c r="O42" i="1"/>
  <c r="O49" i="1" l="1"/>
  <c r="P29" i="1"/>
  <c r="Q28" i="1"/>
  <c r="AE28" i="1"/>
  <c r="P42" i="1"/>
  <c r="O43" i="1"/>
  <c r="R46" i="1"/>
  <c r="S27" i="1"/>
  <c r="O48" i="1"/>
  <c r="P36" i="1"/>
  <c r="AE36" i="1" s="1"/>
  <c r="Q35" i="1"/>
  <c r="AE35" i="1"/>
  <c r="P43" i="1" l="1"/>
  <c r="AE43" i="1" s="1"/>
  <c r="Q42" i="1"/>
  <c r="AE42" i="1"/>
  <c r="P47" i="1"/>
  <c r="AE47" i="1" s="1"/>
  <c r="Q36" i="1"/>
  <c r="R35" i="1"/>
  <c r="AF27" i="1"/>
  <c r="S46" i="1"/>
  <c r="AF46" i="1" s="1"/>
  <c r="T27" i="1"/>
  <c r="Q47" i="1"/>
  <c r="R28" i="1"/>
  <c r="Q29" i="1"/>
  <c r="P48" i="1"/>
  <c r="AE48" i="1" s="1"/>
  <c r="AE29" i="1"/>
  <c r="P49" i="1" l="1"/>
  <c r="AE49" i="1" s="1"/>
  <c r="S28" i="1"/>
  <c r="R29" i="1"/>
  <c r="R36" i="1"/>
  <c r="S35" i="1"/>
  <c r="AF35" i="1" s="1"/>
  <c r="T46" i="1"/>
  <c r="U27" i="1"/>
  <c r="R42" i="1"/>
  <c r="Q43" i="1"/>
  <c r="Q48" i="1"/>
  <c r="Q49" i="1"/>
  <c r="AF28" i="1"/>
  <c r="U46" i="1" l="1"/>
  <c r="V27" i="1"/>
  <c r="T28" i="1"/>
  <c r="S29" i="1"/>
  <c r="R43" i="1"/>
  <c r="R48" i="1" s="1"/>
  <c r="S42" i="1"/>
  <c r="S47" i="1" s="1"/>
  <c r="T35" i="1"/>
  <c r="S36" i="1"/>
  <c r="AF36" i="1" s="1"/>
  <c r="R47" i="1"/>
  <c r="R49" i="1" s="1"/>
  <c r="U35" i="1" l="1"/>
  <c r="T36" i="1"/>
  <c r="AF29" i="1"/>
  <c r="S43" i="1"/>
  <c r="AF43" i="1" s="1"/>
  <c r="T42" i="1"/>
  <c r="U28" i="1"/>
  <c r="T47" i="1"/>
  <c r="T29" i="1"/>
  <c r="AG27" i="1"/>
  <c r="V46" i="1"/>
  <c r="AG46" i="1" s="1"/>
  <c r="W27" i="1"/>
  <c r="S49" i="1"/>
  <c r="AF47" i="1"/>
  <c r="AF42" i="1"/>
  <c r="W46" i="1" l="1"/>
  <c r="X27" i="1"/>
  <c r="V28" i="1"/>
  <c r="U29" i="1"/>
  <c r="T43" i="1"/>
  <c r="T48" i="1" s="1"/>
  <c r="U42" i="1"/>
  <c r="S48" i="1"/>
  <c r="AF48" i="1" s="1"/>
  <c r="AG28" i="1"/>
  <c r="V35" i="1"/>
  <c r="U36" i="1"/>
  <c r="T49" i="1"/>
  <c r="AF49" i="1"/>
  <c r="AG35" i="1"/>
  <c r="U43" i="1" l="1"/>
  <c r="V42" i="1"/>
  <c r="U48" i="1"/>
  <c r="V47" i="1"/>
  <c r="V29" i="1"/>
  <c r="W28" i="1"/>
  <c r="X46" i="1"/>
  <c r="Y27" i="1"/>
  <c r="AG42" i="1"/>
  <c r="U47" i="1"/>
  <c r="AG47" i="1" s="1"/>
  <c r="U49" i="1"/>
  <c r="V49" i="1" s="1"/>
  <c r="W35" i="1"/>
  <c r="V36" i="1"/>
  <c r="AG36" i="1" s="1"/>
  <c r="X28" i="1" l="1"/>
  <c r="W29" i="1"/>
  <c r="Y46" i="1"/>
  <c r="AJ27" i="1"/>
  <c r="AI27" i="1"/>
  <c r="AH27" i="1"/>
  <c r="AG29" i="1"/>
  <c r="V43" i="1"/>
  <c r="AG43" i="1" s="1"/>
  <c r="W42" i="1"/>
  <c r="W47" i="1" s="1"/>
  <c r="W49" i="1" s="1"/>
  <c r="X35" i="1"/>
  <c r="W36" i="1"/>
  <c r="AG49" i="1"/>
  <c r="V48" i="1" l="1"/>
  <c r="AG48" i="1" s="1"/>
  <c r="Y28" i="1"/>
  <c r="X29" i="1"/>
  <c r="AI46" i="1"/>
  <c r="AH46" i="1"/>
  <c r="AJ46" i="1"/>
  <c r="Y35" i="1"/>
  <c r="X36" i="1"/>
  <c r="W43" i="1"/>
  <c r="W48" i="1" s="1"/>
  <c r="X42" i="1"/>
  <c r="X47" i="1" s="1"/>
  <c r="X49" i="1" s="1"/>
  <c r="Y36" i="1" l="1"/>
  <c r="AH35" i="1"/>
  <c r="AI35" i="1" s="1"/>
  <c r="AJ35" i="1" s="1"/>
  <c r="Y29" i="1"/>
  <c r="Y42" i="1"/>
  <c r="Y43" i="1" s="1"/>
  <c r="X43" i="1"/>
  <c r="X48" i="1" s="1"/>
  <c r="AH42" i="1"/>
  <c r="AI42" i="1" s="1"/>
  <c r="AJ42" i="1" s="1"/>
  <c r="AH28" i="1"/>
  <c r="AI28" i="1" s="1"/>
  <c r="AJ28" i="1" s="1"/>
  <c r="AJ43" i="1" l="1"/>
  <c r="AI43" i="1"/>
  <c r="AH43" i="1"/>
  <c r="Y47" i="1"/>
  <c r="Y48" i="1"/>
  <c r="AJ29" i="1"/>
  <c r="AI29" i="1"/>
  <c r="AH29" i="1"/>
  <c r="AI36" i="1"/>
  <c r="AJ36" i="1"/>
  <c r="AH36" i="1"/>
  <c r="AI48" i="1" l="1"/>
  <c r="AH48" i="1"/>
  <c r="AJ48" i="1"/>
  <c r="AH47" i="1"/>
  <c r="AI47" i="1" s="1"/>
  <c r="AJ47" i="1" s="1"/>
  <c r="Y49" i="1"/>
  <c r="AH49" i="1" s="1"/>
  <c r="AI49" i="1" s="1"/>
  <c r="AJ49" i="1" s="1"/>
</calcChain>
</file>

<file path=xl/sharedStrings.xml><?xml version="1.0" encoding="utf-8"?>
<sst xmlns="http://schemas.openxmlformats.org/spreadsheetml/2006/main" count="86" uniqueCount="86">
  <si>
    <t>EVOLVE - 24 Month Revenue Model</t>
  </si>
  <si>
    <t>Target Case: Year 1 $2M ARR → Year 2 $10M ARR</t>
  </si>
  <si>
    <t>With Free-to-Paid Conversion Model &amp; Quarterly Totals</t>
  </si>
  <si>
    <t>KEY ASSUMPTIONS</t>
  </si>
  <si>
    <t>Average Annual Revenue per Customer (Year 1)</t>
  </si>
  <si>
    <t xml:space="preserve">  SMB Average ARR</t>
  </si>
  <si>
    <t>$500-2,500/month tiers</t>
  </si>
  <si>
    <t xml:space="preserve">  Mid-Market Average ARR</t>
  </si>
  <si>
    <t>Grows to $150K by Year 5</t>
  </si>
  <si>
    <t xml:space="preserve">  Enterprise Average ARR</t>
  </si>
  <si>
    <t>Grows to $500K by Year 5</t>
  </si>
  <si>
    <t>Net Dollar Retention (Expansion - Churn)</t>
  </si>
  <si>
    <t xml:space="preserve">  SMB Monthly Expansion Rate</t>
  </si>
  <si>
    <t>~110% NDR annually</t>
  </si>
  <si>
    <t xml:space="preserve">  Mid-Market Monthly Expansion Rate</t>
  </si>
  <si>
    <t>~119% NDR annually</t>
  </si>
  <si>
    <t xml:space="preserve">  Enterprise Monthly Expansion Rate</t>
  </si>
  <si>
    <t>~126% NDR annually</t>
  </si>
  <si>
    <t xml:space="preserve">  SMB Monthly Churn Rate</t>
  </si>
  <si>
    <t>~18% annual churn</t>
  </si>
  <si>
    <t xml:space="preserve">  Mid-Market Monthly Churn Rate</t>
  </si>
  <si>
    <t>~10% annual churn</t>
  </si>
  <si>
    <t xml:space="preserve">  Enterprise Monthly Churn Rate</t>
  </si>
  <si>
    <t>~6% annual churn</t>
  </si>
  <si>
    <t>Free-to-Paid Conversion (30-day model)</t>
  </si>
  <si>
    <t xml:space="preserve">  30-Day Conversion Rate</t>
  </si>
  <si>
    <t>Free users who convert to paid in following month</t>
  </si>
  <si>
    <t>Metric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</si>
  <si>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</si>
  <si>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</si>
  <si>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</si>
  <si>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</si>
  <si>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</si>
  <si>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</si>
  <si>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</si>
  <si>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</si>
  <si>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</si>
  <si>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</si>
  <si>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</si>
  <si>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</si>
  <si>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</si>
  <si>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</si>
  <si>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</si>
  <si>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</si>
  <si>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</si>
  <si>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</si>
  <si>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</si>
  <si>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</si>
  <si>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</si>
  <si>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</si>
  <si>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</si>
  <si>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</si>
  <si>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Q1 2026</t>
  </si>
  <si>
    <t>Q2 2026</t>
  </si>
  <si>
    <t>Q3 2026</t>
  </si>
  <si>
    <t>Q4 2026</t>
  </si>
  <si>
    <t>2026 Total</t>
  </si>
  <si>
    <t>Q1 2027</t>
  </si>
  <si>
    <t>Q2 2027</t>
  </si>
  <si>
    <t>Q3 2027</t>
  </si>
  <si>
    <t>Q4 2027</t>
  </si>
  <si>
    <t>2027 Total</t>
  </si>
  <si>
    <t>Grand Total</t>
  </si>
  <si>
    <t>SMB SEGMENT</t>
  </si>
  <si>
    <t xml:space="preserve">  New Free SMB Users (Month Prior)</t>
  </si>
  <si>
    <t xml:space="preserve">  New SMB Customers</t>
  </si>
  <si>
    <t xml:space="preserve">  Active SMB Customers</t>
  </si>
  <si>
    <t xml:space="preserve">  SMB MRR</t>
  </si>
  <si>
    <t xml:space="preserve">  SMB ARR (MRR x 12)</t>
  </si>
  <si>
    <t>MID-MARKET SEGMENT</t>
  </si>
  <si>
    <t xml:space="preserve">  New Free Mid-Market Users (Month Prior)</t>
  </si>
  <si>
    <t xml:space="preserve">  New Mid-Market Customers</t>
  </si>
  <si>
    <t xml:space="preserve">  Active Mid-Market Customers</t>
  </si>
  <si>
    <t xml:space="preserve">  Mid-Market MRR</t>
  </si>
  <si>
    <t xml:space="preserve">  Mid-Market ARR (MRR x 12)</t>
  </si>
  <si>
    <t>ENTERPRISE SEGMENT</t>
  </si>
  <si>
    <t xml:space="preserve">  New Free Enterprise Users (Month Prior)</t>
  </si>
  <si>
    <t xml:space="preserve">  New Enterprise Customers</t>
  </si>
  <si>
    <t xml:space="preserve">  Active Enterprise Customers</t>
  </si>
  <si>
    <t xml:space="preserve">  Enterprise MRR</t>
  </si>
  <si>
    <t xml:space="preserve">  Enterprise ARR (MRR x 12)</t>
  </si>
  <si>
    <t>TOTAL METRICS</t>
  </si>
  <si>
    <t xml:space="preserve">  Total Active Paid Customers</t>
  </si>
  <si>
    <t xml:space="preserve">  Total MRR</t>
  </si>
  <si>
    <t xml:space="preserve">  Total ARR (MRR x 12)</t>
  </si>
  <si>
    <t xml:space="preserve">  Cumulative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</si>
</sst>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i/>
      <sz val="9"/>
      <color rgb="FF666666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i/>
      <sz val="11"/>
      <color rgb="FF999999"/>
      <name val="Calibri"/>
      <family val="2"/>
    </font>
    <font>
      <b/>
      <i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FC000"/>
      </patternFill>
    </fill>
    <fill>
      <patternFill patternType="solid">
        <fgColor rgb="FFD9F2D9"/>
      </patternFill>
    </fill>
    <fill>
      <patternFill patternType="solid">
        <fgColor rgb="FFD9E1F2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10" fontId="6" fillId="0" borderId="0" xfId="0" applyNumberFormat="1" applyFont="1"/>
    <xf numFmtId="165" fontId="6" fillId="0" borderId="0" xfId="0" applyNumberFormat="1" applyFont="1"/>
    <xf numFmtId="0" fontId="8" fillId="4" borderId="0" xfId="0" applyFont="1" applyFill="1" applyAlignment="1">
      <alignment horizontal="center" wrapText="1"/>
    </xf>
    <xf numFmtId="3" fontId="0" fillId="0" borderId="0" xfId="0" applyNumberFormat="1"/>
    <xf numFmtId="3" fontId="5" fillId="5" borderId="0" xfId="0" applyNumberFormat="1" applyFont="1" applyFill="1"/>
    <xf numFmtId="3" fontId="5" fillId="6" borderId="0" xfId="0" applyNumberFormat="1" applyFont="1" applyFill="1"/>
    <xf numFmtId="3" fontId="6" fillId="0" borderId="0" xfId="0" applyNumberFormat="1" applyFont="1"/>
    <xf numFmtId="164" fontId="0" fillId="0" borderId="0" xfId="0" applyNumberFormat="1"/>
    <xf numFmtId="164" fontId="5" fillId="5" borderId="0" xfId="0" applyNumberFormat="1" applyFont="1" applyFill="1"/>
    <xf numFmtId="164" fontId="5" fillId="6" borderId="0" xfId="0" applyNumberFormat="1" applyFont="1" applyFill="1"/>
    <xf numFmtId="164" fontId="5" fillId="7" borderId="0" xfId="0" applyNumberFormat="1" applyFont="1" applyFill="1"/>
    <xf numFmtId="3" fontId="10" fillId="0" borderId="0" xfId="0" applyNumberFormat="1" applyFont="1"/>
    <xf numFmtId="3" fontId="5" fillId="0" borderId="0" xfId="0" applyNumberFormat="1" applyFont="1"/>
    <xf numFmtId="164" fontId="11" fillId="8" borderId="0" xfId="0" applyNumberFormat="1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2" xfId="0" applyBorder="1"/>
    <xf numFmtId="3" fontId="5" fillId="5" borderId="2" xfId="0" applyNumberFormat="1" applyFont="1" applyFill="1" applyBorder="1"/>
    <xf numFmtId="3" fontId="0" fillId="0" borderId="2" xfId="0" applyNumberFormat="1" applyBorder="1"/>
    <xf numFmtId="164" fontId="5" fillId="5" borderId="2" xfId="0" applyNumberFormat="1" applyFont="1" applyFill="1" applyBorder="1"/>
    <xf numFmtId="164" fontId="5" fillId="7" borderId="2" xfId="0" applyNumberFormat="1" applyFont="1" applyFill="1" applyBorder="1"/>
    <xf numFmtId="3" fontId="5" fillId="0" borderId="2" xfId="0" applyNumberFormat="1" applyFont="1" applyBorder="1"/>
    <xf numFmtId="164" fontId="5" fillId="6" borderId="2" xfId="0" applyNumberFormat="1" applyFont="1" applyFill="1" applyBorder="1"/>
    <xf numFmtId="164" fontId="5" fillId="5" borderId="3" xfId="0" applyNumberFormat="1" applyFont="1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3" fontId="0" fillId="0" borderId="4" xfId="0" applyNumberFormat="1" applyBorder="1"/>
    <xf numFmtId="3" fontId="0" fillId="0" borderId="0" xfId="0" applyNumberFormat="1" applyBorder="1"/>
    <xf numFmtId="3" fontId="0" fillId="0" borderId="5" xfId="0" applyNumberFormat="1" applyBorder="1"/>
    <xf numFmtId="3" fontId="6" fillId="0" borderId="4" xfId="0" applyNumberFormat="1" applyFont="1" applyBorder="1"/>
    <xf numFmtId="3" fontId="6" fillId="0" borderId="0" xfId="0" applyNumberFormat="1" applyFont="1" applyBorder="1"/>
    <xf numFmtId="3" fontId="6" fillId="0" borderId="5" xfId="0" applyNumberFormat="1" applyFon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4" fontId="5" fillId="7" borderId="4" xfId="0" applyNumberFormat="1" applyFont="1" applyFill="1" applyBorder="1"/>
    <xf numFmtId="164" fontId="5" fillId="7" borderId="0" xfId="0" applyNumberFormat="1" applyFont="1" applyFill="1" applyBorder="1"/>
    <xf numFmtId="164" fontId="5" fillId="7" borderId="5" xfId="0" applyNumberFormat="1" applyFont="1" applyFill="1" applyBorder="1"/>
    <xf numFmtId="3" fontId="10" fillId="0" borderId="4" xfId="0" applyNumberFormat="1" applyFont="1" applyBorder="1"/>
    <xf numFmtId="3" fontId="10" fillId="0" borderId="0" xfId="0" applyNumberFormat="1" applyFont="1" applyBorder="1"/>
    <xf numFmtId="3" fontId="10" fillId="0" borderId="5" xfId="0" applyNumberFormat="1" applyFont="1" applyBorder="1"/>
    <xf numFmtId="3" fontId="5" fillId="0" borderId="4" xfId="0" applyNumberFormat="1" applyFont="1" applyBorder="1"/>
    <xf numFmtId="3" fontId="5" fillId="0" borderId="0" xfId="0" applyNumberFormat="1" applyFont="1" applyBorder="1"/>
    <xf numFmtId="3" fontId="5" fillId="0" borderId="5" xfId="0" applyNumberFormat="1" applyFont="1" applyBorder="1"/>
    <xf numFmtId="164" fontId="5" fillId="5" borderId="4" xfId="0" applyNumberFormat="1" applyFont="1" applyFill="1" applyBorder="1"/>
    <xf numFmtId="164" fontId="5" fillId="5" borderId="0" xfId="0" applyNumberFormat="1" applyFont="1" applyFill="1" applyBorder="1"/>
    <xf numFmtId="164" fontId="5" fillId="5" borderId="5" xfId="0" applyNumberFormat="1" applyFont="1" applyFill="1" applyBorder="1"/>
    <xf numFmtId="164" fontId="5" fillId="6" borderId="4" xfId="0" applyNumberFormat="1" applyFont="1" applyFill="1" applyBorder="1"/>
    <xf numFmtId="164" fontId="5" fillId="6" borderId="0" xfId="0" applyNumberFormat="1" applyFont="1" applyFill="1" applyBorder="1"/>
    <xf numFmtId="164" fontId="5" fillId="6" borderId="5" xfId="0" applyNumberFormat="1" applyFont="1" applyFill="1" applyBorder="1"/>
    <xf numFmtId="164" fontId="11" fillId="8" borderId="6" xfId="0" applyNumberFormat="1" applyFont="1" applyFill="1" applyBorder="1"/>
    <xf numFmtId="164" fontId="11" fillId="8" borderId="7" xfId="0" applyNumberFormat="1" applyFont="1" applyFill="1" applyBorder="1"/>
    <xf numFmtId="164" fontId="11" fillId="8" borderId="8" xfId="0" applyNumberFormat="1" applyFont="1" applyFill="1" applyBorder="1"/>
    <xf numFmtId="0" fontId="9" fillId="3" borderId="2" xfId="0" applyFont="1" applyFill="1" applyBorder="1"/>
    <xf numFmtId="0" fontId="5" fillId="0" borderId="2" xfId="0" applyFont="1" applyBorder="1"/>
    <xf numFmtId="0" fontId="9" fillId="2" borderId="2" xfId="0" applyFont="1" applyFill="1" applyBorder="1"/>
    <xf numFmtId="0" fontId="11" fillId="0" borderId="3" xfId="0" applyFont="1" applyBorder="1"/>
    <xf numFmtId="0" fontId="8" fillId="9" borderId="1" xfId="0" applyFont="1" applyFill="1" applyBorder="1"/>
    <xf numFmtId="0" fontId="8" fillId="9" borderId="9" xfId="0" applyFont="1" applyFill="1" applyBorder="1" applyAlignment="1">
      <alignment horizontal="center" textRotation="90"/>
    </xf>
    <xf numFmtId="0" fontId="8" fillId="9" borderId="10" xfId="0" applyFont="1" applyFill="1" applyBorder="1" applyAlignment="1">
      <alignment horizontal="center" textRotation="90"/>
    </xf>
    <xf numFmtId="0" fontId="8" fillId="9" borderId="11" xfId="0" applyFont="1" applyFill="1" applyBorder="1" applyAlignment="1">
      <alignment horizontal="center" textRotation="90"/>
    </xf>
    <xf numFmtId="0" fontId="8" fillId="3" borderId="10" xfId="0" applyFont="1" applyFill="1" applyBorder="1" applyAlignment="1">
      <alignment horizontal="center" textRotation="90"/>
    </xf>
    <xf numFmtId="0" fontId="8" fillId="4" borderId="10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4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"/>
  <sheetViews>
    <sheetView tabSelected="1" topLeftCell="A4" zoomScale="140" zoomScaleNormal="140" workbookViewId="0">
      <selection activeCell="A5" sqref="A5:F20"/>
    </sheetView>
  </sheetViews>
  <sheetFormatPr baseColWidth="10" defaultColWidth="8.83203125" defaultRowHeight="15" outlineLevelRow="1" outlineLevelCol="1" x14ac:dyDescent="0.2"/>
  <cols>
    <col min="1" max="1" width="33.1640625" customWidth="1"/>
    <col min="2" max="2" width="8.83203125" customWidth="1"/>
    <col min="3" max="3" width="7.5" customWidth="1"/>
    <col min="4" max="4" width="9" customWidth="1"/>
    <col min="5" max="5" width="8.33203125" customWidth="1"/>
    <col min="6" max="12" width="9.5" customWidth="1"/>
    <col min="13" max="13" width="10.5" customWidth="1"/>
    <col min="14" max="24" width="11" hidden="1" customWidth="1" outlineLevel="1" collapsed="1"/>
    <col min="25" max="25" width="1" hidden="1" customWidth="1" outlineLevel="1" collapsed="1"/>
    <col min="26" max="26" width="11" hidden="1" customWidth="1" outlineLevel="1" collapsed="1"/>
    <col min="27" max="29" width="11" hidden="1" customWidth="1" outlineLevel="1"/>
    <col min="30" max="30" width="12.33203125" customWidth="1" collapsed="1"/>
    <col min="31" max="36" width="11" customWidth="1"/>
  </cols>
  <sheetData>
    <row r="1" spans="1:6" ht="21" x14ac:dyDescent="0.25">
      <c r="A1" s="18" t="s">
        <v>0</v>
      </c>
      <c r="B1" s="18"/>
      <c r="C1" s="18"/>
      <c r="D1" s="18"/>
      <c r="E1" s="18"/>
    </row>
    <row r="2" spans="1:6" x14ac:dyDescent="0.2">
      <c r="A2" s="19" t="s">
        <v>1</v>
      </c>
      <c r="B2" s="19"/>
      <c r="C2" s="19"/>
      <c r="D2" s="19"/>
      <c r="E2" s="19"/>
    </row>
    <row r="3" spans="1:6" x14ac:dyDescent="0.2">
      <c r="A3" s="20" t="s">
        <v>2</v>
      </c>
      <c r="B3" s="20"/>
      <c r="C3" s="20"/>
      <c r="D3" s="20"/>
      <c r="E3" s="20"/>
    </row>
    <row r="5" spans="1:6" ht="19" x14ac:dyDescent="0.25">
      <c r="A5" s="70" t="s">
        <v>3</v>
      </c>
      <c r="B5" s="70"/>
      <c r="C5" s="70"/>
      <c r="D5" s="70"/>
      <c r="E5" s="70"/>
      <c r="F5" s="70"/>
    </row>
    <row r="6" spans="1:6" x14ac:dyDescent="0.2">
      <c r="A6" s="1" t="s">
        <v>4</v>
      </c>
    </row>
    <row r="7" spans="1:6" x14ac:dyDescent="0.2">
      <c r="A7" t="s">
        <v>5</v>
      </c>
      <c r="B7" s="2">
        <v>20000</v>
      </c>
      <c r="C7" s="3" t="s">
        <v>6</v>
      </c>
    </row>
    <row r="8" spans="1:6" x14ac:dyDescent="0.2">
      <c r="A8" t="s">
        <v>7</v>
      </c>
      <c r="B8" s="2">
        <v>75000</v>
      </c>
      <c r="C8" s="3" t="s">
        <v>8</v>
      </c>
    </row>
    <row r="9" spans="1:6" x14ac:dyDescent="0.2">
      <c r="A9" t="s">
        <v>9</v>
      </c>
      <c r="B9" s="2">
        <v>200000</v>
      </c>
      <c r="C9" s="3" t="s">
        <v>10</v>
      </c>
    </row>
    <row r="10" spans="1:6" hidden="1" outlineLevel="1" x14ac:dyDescent="0.2"/>
    <row r="11" spans="1:6" hidden="1" outlineLevel="1" x14ac:dyDescent="0.2">
      <c r="A11" s="1" t="s">
        <v>11</v>
      </c>
    </row>
    <row r="12" spans="1:6" hidden="1" outlineLevel="1" x14ac:dyDescent="0.2">
      <c r="A12" t="s">
        <v>12</v>
      </c>
      <c r="B12" s="4">
        <v>8.5000000000000006E-3</v>
      </c>
      <c r="C12" s="3" t="s">
        <v>13</v>
      </c>
    </row>
    <row r="13" spans="1:6" hidden="1" outlineLevel="1" x14ac:dyDescent="0.2">
      <c r="A13" t="s">
        <v>14</v>
      </c>
      <c r="B13" s="4">
        <v>1.46E-2</v>
      </c>
      <c r="C13" s="3" t="s">
        <v>15</v>
      </c>
    </row>
    <row r="14" spans="1:6" hidden="1" outlineLevel="1" x14ac:dyDescent="0.2">
      <c r="A14" t="s">
        <v>16</v>
      </c>
      <c r="B14" s="4">
        <v>1.9300000000000001E-2</v>
      </c>
      <c r="C14" s="3" t="s">
        <v>17</v>
      </c>
    </row>
    <row r="15" spans="1:6" hidden="1" outlineLevel="1" x14ac:dyDescent="0.2">
      <c r="A15" t="s">
        <v>18</v>
      </c>
      <c r="B15" s="5">
        <v>1.4999999999999999E-2</v>
      </c>
      <c r="C15" s="3" t="s">
        <v>19</v>
      </c>
    </row>
    <row r="16" spans="1:6" hidden="1" outlineLevel="1" x14ac:dyDescent="0.2">
      <c r="A16" t="s">
        <v>20</v>
      </c>
      <c r="B16" s="5">
        <v>8.0000000000000002E-3</v>
      </c>
      <c r="C16" s="3" t="s">
        <v>21</v>
      </c>
    </row>
    <row r="17" spans="1:36" hidden="1" outlineLevel="1" x14ac:dyDescent="0.2">
      <c r="A17" t="s">
        <v>22</v>
      </c>
      <c r="B17" s="5">
        <v>5.0000000000000001E-3</v>
      </c>
      <c r="C17" s="3" t="s">
        <v>23</v>
      </c>
    </row>
    <row r="18" spans="1:36" hidden="1" outlineLevel="1" x14ac:dyDescent="0.2"/>
    <row r="19" spans="1:36" collapsed="1" x14ac:dyDescent="0.2">
      <c r="A19" s="1" t="s">
        <v>24</v>
      </c>
    </row>
    <row r="20" spans="1:36" x14ac:dyDescent="0.2">
      <c r="A20" t="s">
        <v>25</v>
      </c>
      <c r="B20" s="5">
        <v>0.05</v>
      </c>
      <c r="C20" s="3" t="s">
        <v>26</v>
      </c>
    </row>
    <row r="22" spans="1:36" ht="16" thickBot="1" x14ac:dyDescent="0.25"/>
    <row r="23" spans="1:36" ht="43" thickBot="1" x14ac:dyDescent="0.25">
      <c r="A23" s="63" t="s">
        <v>27</v>
      </c>
      <c r="B23" s="64" t="s">
        <v>28</v>
      </c>
      <c r="C23" s="65" t="s">
        <v>29</v>
      </c>
      <c r="D23" s="65" t="s">
        <v>30</v>
      </c>
      <c r="E23" s="65" t="s">
        <v>31</v>
      </c>
      <c r="F23" s="65" t="s">
        <v>32</v>
      </c>
      <c r="G23" s="65" t="s">
        <v>33</v>
      </c>
      <c r="H23" s="65" t="s">
        <v>34</v>
      </c>
      <c r="I23" s="65" t="s">
        <v>35</v>
      </c>
      <c r="J23" s="65" t="s">
        <v>36</v>
      </c>
      <c r="K23" s="65" t="s">
        <v>37</v>
      </c>
      <c r="L23" s="65" t="s">
        <v>38</v>
      </c>
      <c r="M23" s="66" t="s">
        <v>39</v>
      </c>
      <c r="N23" s="67" t="s">
        <v>40</v>
      </c>
      <c r="O23" s="67" t="s">
        <v>41</v>
      </c>
      <c r="P23" s="67" t="s">
        <v>42</v>
      </c>
      <c r="Q23" s="67" t="s">
        <v>43</v>
      </c>
      <c r="R23" s="67" t="s">
        <v>44</v>
      </c>
      <c r="S23" s="67" t="s">
        <v>45</v>
      </c>
      <c r="T23" s="67" t="s">
        <v>46</v>
      </c>
      <c r="U23" s="67" t="s">
        <v>47</v>
      </c>
      <c r="V23" s="67" t="s">
        <v>48</v>
      </c>
      <c r="W23" s="67" t="s">
        <v>49</v>
      </c>
      <c r="X23" s="67" t="s">
        <v>50</v>
      </c>
      <c r="Y23" s="67" t="s">
        <v>51</v>
      </c>
      <c r="Z23" s="68" t="s">
        <v>52</v>
      </c>
      <c r="AA23" s="68" t="s">
        <v>53</v>
      </c>
      <c r="AB23" s="68" t="s">
        <v>54</v>
      </c>
      <c r="AC23" s="68" t="s">
        <v>55</v>
      </c>
      <c r="AD23" s="69" t="s">
        <v>56</v>
      </c>
      <c r="AE23" s="6" t="s">
        <v>57</v>
      </c>
      <c r="AF23" s="6" t="s">
        <v>58</v>
      </c>
      <c r="AG23" s="6" t="s">
        <v>59</v>
      </c>
      <c r="AH23" s="6" t="s">
        <v>60</v>
      </c>
      <c r="AI23" s="6" t="s">
        <v>61</v>
      </c>
      <c r="AJ23" s="6" t="s">
        <v>62</v>
      </c>
    </row>
    <row r="24" spans="1:36" ht="16" x14ac:dyDescent="0.2">
      <c r="A24" s="59" t="s">
        <v>63</v>
      </c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1"/>
      <c r="AD24" s="21"/>
    </row>
    <row r="25" spans="1:36" x14ac:dyDescent="0.2">
      <c r="A25" s="21" t="s">
        <v>64</v>
      </c>
      <c r="B25" s="32">
        <f>C26/B20</f>
        <v>0</v>
      </c>
      <c r="C25" s="33">
        <f>D26/B20</f>
        <v>20</v>
      </c>
      <c r="D25" s="33">
        <f>E26/B20</f>
        <v>40</v>
      </c>
      <c r="E25" s="33">
        <f>F26/B20</f>
        <v>60</v>
      </c>
      <c r="F25" s="33">
        <f>G26/B20</f>
        <v>80</v>
      </c>
      <c r="G25" s="33">
        <f>H26/B20</f>
        <v>100</v>
      </c>
      <c r="H25" s="33">
        <f>I26/B20</f>
        <v>120</v>
      </c>
      <c r="I25" s="33">
        <f>J26/B20</f>
        <v>140</v>
      </c>
      <c r="J25" s="33">
        <f>K26/B20</f>
        <v>160</v>
      </c>
      <c r="K25" s="33">
        <f>L26/B20</f>
        <v>180</v>
      </c>
      <c r="L25" s="33">
        <f>M26/B20</f>
        <v>200</v>
      </c>
      <c r="M25" s="34">
        <f>N26/B20</f>
        <v>220</v>
      </c>
      <c r="N25" s="7">
        <f>O26/B20</f>
        <v>240</v>
      </c>
      <c r="O25" s="7">
        <f>P26/B20</f>
        <v>260</v>
      </c>
      <c r="P25" s="7">
        <f>Q26/B20</f>
        <v>280</v>
      </c>
      <c r="Q25" s="7">
        <f>R26/B20</f>
        <v>300</v>
      </c>
      <c r="R25" s="7">
        <f>S26/B20</f>
        <v>320</v>
      </c>
      <c r="S25" s="7">
        <f>T26/B20</f>
        <v>340</v>
      </c>
      <c r="T25" s="7">
        <f>U26/B20</f>
        <v>360</v>
      </c>
      <c r="U25" s="7">
        <f>V26/B20</f>
        <v>380</v>
      </c>
      <c r="V25" s="7">
        <f>W26/B20</f>
        <v>400</v>
      </c>
      <c r="W25" s="7">
        <f>X26/B20</f>
        <v>420</v>
      </c>
      <c r="X25" s="7">
        <f>Y26/B20</f>
        <v>440</v>
      </c>
      <c r="Y25" s="7">
        <f>Y26/B20</f>
        <v>440</v>
      </c>
      <c r="Z25" s="7">
        <f>SUM(B25:D25)</f>
        <v>60</v>
      </c>
      <c r="AA25" s="7">
        <f>SUM(E25:G25)</f>
        <v>240</v>
      </c>
      <c r="AB25" s="7">
        <f>SUM(H25:J25)</f>
        <v>420</v>
      </c>
      <c r="AC25" s="7">
        <f>SUM(K25:M25)</f>
        <v>600</v>
      </c>
      <c r="AD25" s="22">
        <f>SUM(Z25:AC25)</f>
        <v>1320</v>
      </c>
      <c r="AE25" s="7">
        <f>SUM(N25:P25)</f>
        <v>780</v>
      </c>
      <c r="AF25" s="7">
        <f>SUM(Q25:S25)</f>
        <v>960</v>
      </c>
      <c r="AG25" s="7">
        <f>SUM(T25:V25)</f>
        <v>1140</v>
      </c>
      <c r="AH25" s="7">
        <f>SUM(W25:Y25)</f>
        <v>1300</v>
      </c>
      <c r="AI25" s="8">
        <f>SUM(AE25:AH25)</f>
        <v>4180</v>
      </c>
      <c r="AJ25" s="9">
        <f>AD25+AI25</f>
        <v>5500</v>
      </c>
    </row>
    <row r="26" spans="1:36" x14ac:dyDescent="0.2">
      <c r="A26" s="21" t="s">
        <v>65</v>
      </c>
      <c r="B26" s="35">
        <v>0</v>
      </c>
      <c r="C26" s="36">
        <v>0</v>
      </c>
      <c r="D26" s="36">
        <v>1</v>
      </c>
      <c r="E26" s="36">
        <v>2</v>
      </c>
      <c r="F26" s="36">
        <v>3</v>
      </c>
      <c r="G26" s="36">
        <v>4</v>
      </c>
      <c r="H26" s="36">
        <v>5</v>
      </c>
      <c r="I26" s="36">
        <v>6</v>
      </c>
      <c r="J26" s="36">
        <v>7</v>
      </c>
      <c r="K26" s="36">
        <v>8</v>
      </c>
      <c r="L26" s="36">
        <v>9</v>
      </c>
      <c r="M26" s="37">
        <v>10</v>
      </c>
      <c r="N26" s="10">
        <v>11</v>
      </c>
      <c r="O26" s="10">
        <v>12</v>
      </c>
      <c r="P26" s="10">
        <v>13</v>
      </c>
      <c r="Q26" s="10">
        <v>14</v>
      </c>
      <c r="R26" s="10">
        <v>15</v>
      </c>
      <c r="S26" s="10">
        <v>16</v>
      </c>
      <c r="T26" s="10">
        <v>17</v>
      </c>
      <c r="U26" s="10">
        <v>18</v>
      </c>
      <c r="V26" s="10">
        <v>19</v>
      </c>
      <c r="W26" s="10">
        <v>20</v>
      </c>
      <c r="X26" s="10">
        <v>21</v>
      </c>
      <c r="Y26" s="10">
        <v>22</v>
      </c>
      <c r="Z26" s="7">
        <f>SUM(B26:D26)</f>
        <v>1</v>
      </c>
      <c r="AA26" s="7">
        <f>SUM(E26:G26)</f>
        <v>9</v>
      </c>
      <c r="AB26" s="7">
        <f>SUM(H26:J26)</f>
        <v>18</v>
      </c>
      <c r="AC26" s="7">
        <f>SUM(K26:M26)</f>
        <v>27</v>
      </c>
      <c r="AD26" s="22">
        <f>SUM(Z26:AC26)</f>
        <v>55</v>
      </c>
      <c r="AE26" s="7">
        <f>SUM(N26:P26)</f>
        <v>36</v>
      </c>
      <c r="AF26" s="7">
        <f>SUM(Q26:S26)</f>
        <v>45</v>
      </c>
      <c r="AG26" s="7">
        <f>SUM(T26:V26)</f>
        <v>54</v>
      </c>
      <c r="AH26" s="7">
        <f>SUM(W26:Y26)</f>
        <v>63</v>
      </c>
      <c r="AI26" s="8">
        <f>SUM(AE26:AH26)</f>
        <v>198</v>
      </c>
      <c r="AJ26" s="9">
        <f>AD26+AI26</f>
        <v>253</v>
      </c>
    </row>
    <row r="27" spans="1:36" x14ac:dyDescent="0.2">
      <c r="A27" s="21" t="s">
        <v>66</v>
      </c>
      <c r="B27" s="32">
        <f>B26</f>
        <v>0</v>
      </c>
      <c r="C27" s="33">
        <f>B27*(1-B15)+C26</f>
        <v>0</v>
      </c>
      <c r="D27" s="33">
        <f>C27*(1-B15)+D26</f>
        <v>1</v>
      </c>
      <c r="E27" s="33">
        <f>D27*(1-B15)+E26</f>
        <v>2.9849999999999999</v>
      </c>
      <c r="F27" s="33">
        <f>E27*(1-B15)+F26</f>
        <v>5.9402249999999999</v>
      </c>
      <c r="G27" s="33">
        <f>F27*(1-B15)+G26</f>
        <v>9.8511216250000011</v>
      </c>
      <c r="H27" s="33">
        <f>G27*(1-B15)+H26</f>
        <v>14.703354800625</v>
      </c>
      <c r="I27" s="33">
        <f>H27*(1-B15)+I26</f>
        <v>20.482804478615627</v>
      </c>
      <c r="J27" s="33">
        <f>I27*(1-B15)+J26</f>
        <v>27.175562411436392</v>
      </c>
      <c r="K27" s="33">
        <f>J27*(1-B15)+K26</f>
        <v>34.767928975264844</v>
      </c>
      <c r="L27" s="33">
        <f>K27*(1-B15)+L26</f>
        <v>43.246410040635872</v>
      </c>
      <c r="M27" s="34">
        <f>L27*(1-B15)+M26</f>
        <v>52.597713890026334</v>
      </c>
      <c r="N27" s="7">
        <f>M27*(1-B15)+N26</f>
        <v>62.808748181675938</v>
      </c>
      <c r="O27" s="7">
        <f>N27*(1-B15)+O26</f>
        <v>73.8666169589508</v>
      </c>
      <c r="P27" s="7">
        <f>O27*(1-B15)+P26</f>
        <v>85.758617704566532</v>
      </c>
      <c r="Q27" s="7">
        <f>P27*(1-B15)+Q26</f>
        <v>98.472238438998033</v>
      </c>
      <c r="R27" s="7">
        <f>Q27*(1-B15)+R26</f>
        <v>111.99515486241306</v>
      </c>
      <c r="S27" s="7">
        <f>R27*(1-B15)+S26</f>
        <v>126.31522753947687</v>
      </c>
      <c r="T27" s="7">
        <f>S27*(1-B15)+T26</f>
        <v>141.4204991263847</v>
      </c>
      <c r="U27" s="7">
        <f>T27*(1-B15)+U26</f>
        <v>157.29919163948892</v>
      </c>
      <c r="V27" s="7">
        <f>U27*(1-B15)+V26</f>
        <v>173.93970376489659</v>
      </c>
      <c r="W27" s="7">
        <f>V27*(1-B15)+W26</f>
        <v>191.33060820842314</v>
      </c>
      <c r="X27" s="7">
        <f>W27*(1-B15)+X26</f>
        <v>209.46064908529681</v>
      </c>
      <c r="Y27" s="7">
        <f>X27*(1-B15)+Y26</f>
        <v>228.31873934901736</v>
      </c>
      <c r="Z27" s="7">
        <f>D27</f>
        <v>1</v>
      </c>
      <c r="AA27" s="7">
        <f>G27</f>
        <v>9.8511216250000011</v>
      </c>
      <c r="AB27" s="7">
        <f>J27</f>
        <v>27.175562411436392</v>
      </c>
      <c r="AC27" s="7">
        <f>M27</f>
        <v>52.597713890026334</v>
      </c>
      <c r="AD27" s="23">
        <f>M27</f>
        <v>52.597713890026334</v>
      </c>
      <c r="AE27" s="7">
        <f>P27</f>
        <v>85.758617704566532</v>
      </c>
      <c r="AF27" s="7">
        <f>S27</f>
        <v>126.31522753947687</v>
      </c>
      <c r="AG27" s="7">
        <f>V27</f>
        <v>173.93970376489659</v>
      </c>
      <c r="AH27" s="7">
        <f>Y27</f>
        <v>228.31873934901736</v>
      </c>
      <c r="AI27" s="7">
        <f>Y27</f>
        <v>228.31873934901736</v>
      </c>
      <c r="AJ27" s="7">
        <f>Y27</f>
        <v>228.31873934901736</v>
      </c>
    </row>
    <row r="28" spans="1:36" x14ac:dyDescent="0.2">
      <c r="A28" s="21" t="s">
        <v>67</v>
      </c>
      <c r="B28" s="38">
        <f>B27*B7/12</f>
        <v>0</v>
      </c>
      <c r="C28" s="39">
        <f>B28*(1-B15)*(1+B12)+C26*B7/12</f>
        <v>0</v>
      </c>
      <c r="D28" s="39">
        <f>C28*(1-B15)*(1+B12)+D26*B7/12</f>
        <v>1666.6666666666667</v>
      </c>
      <c r="E28" s="39">
        <f>D28*(1-B15)*(1+B12)+E26*B7/12</f>
        <v>4988.9541666666664</v>
      </c>
      <c r="F28" s="39">
        <f>E28*(1-B15)*(1+B12)+F26*B7/12</f>
        <v>9955.8898729270841</v>
      </c>
      <c r="G28" s="39">
        <f>F28*(1-B15)*(1+B12)+G26*B7/12</f>
        <v>16556.573879460928</v>
      </c>
      <c r="H28" s="39">
        <f>G28*(1-B15)*(1+B12)+H26*B7/12</f>
        <v>24780.178519408131</v>
      </c>
      <c r="I28" s="39">
        <f>H28*(1-B15)*(1+B12)+I26*B7/12</f>
        <v>34615.947886270747</v>
      </c>
      <c r="J28" s="39">
        <f>I28*(1-B15)*(1+B12)+J26*B7/12</f>
        <v>46053.197358321151</v>
      </c>
      <c r="K28" s="39">
        <f>J28*(1-B15)*(1+B12)+K26*B7/12</f>
        <v>59081.313126162211</v>
      </c>
      <c r="L28" s="39">
        <f>K28*(1-B15)*(1+B12)+L26*B7/12</f>
        <v>73689.751723418565</v>
      </c>
      <c r="M28" s="40">
        <f>L28*(1-B15)*(1+B12)+M26*B7/12</f>
        <v>89868.03956053828</v>
      </c>
      <c r="N28" s="11">
        <f>M28*(1-B15)*(1+B12)+N26*B7/12</f>
        <v>107605.77246168414</v>
      </c>
      <c r="O28" s="11">
        <f>N28*(1-B15)*(1+B12)+O26*B7/12</f>
        <v>126892.61520469433</v>
      </c>
      <c r="P28" s="11">
        <f>O28*(1-B15)*(1+B12)+P26*B7/12</f>
        <v>147718.30106409188</v>
      </c>
      <c r="Q28" s="11">
        <f>P28*(1-B15)*(1+B12)+Q26*B7/12</f>
        <v>170072.63135712294</v>
      </c>
      <c r="R28" s="11">
        <f>Q28*(1-B15)*(1+B12)+R26*B7/12</f>
        <v>193945.47499280359</v>
      </c>
      <c r="S28" s="11">
        <f>R28*(1-B15)*(1+B12)+S26*B7/12</f>
        <v>219326.76802395543</v>
      </c>
      <c r="T28" s="11">
        <f>S28*(1-B15)*(1+B12)+T26*B7/12</f>
        <v>246206.51320221002</v>
      </c>
      <c r="U28" s="11">
        <f>T28*(1-B15)*(1+B12)+U26*B7/12</f>
        <v>274574.77953596239</v>
      </c>
      <c r="V28" s="11">
        <f>U28*(1-B15)*(1+B12)+V26*B7/12</f>
        <v>304421.70185125445</v>
      </c>
      <c r="W28" s="11">
        <f>V28*(1-B15)*(1+B12)+W26*B7/12</f>
        <v>335737.48035556858</v>
      </c>
      <c r="X28" s="11">
        <f>W28*(1-B15)*(1+B12)+X26*B7/12</f>
        <v>368512.38020451198</v>
      </c>
      <c r="Y28" s="11">
        <f>X28*(1-B15)*(1+B12)+Y26*B7/12</f>
        <v>402736.73107137321</v>
      </c>
      <c r="Z28" s="11">
        <f>SUM(B28:D28)</f>
        <v>1666.6666666666667</v>
      </c>
      <c r="AA28" s="11">
        <f>SUM(E28:G28)</f>
        <v>31501.417919054678</v>
      </c>
      <c r="AB28" s="11">
        <f>SUM(H28:J28)</f>
        <v>105449.32376400003</v>
      </c>
      <c r="AC28" s="11">
        <f>SUM(K28:M28)</f>
        <v>222639.10441011906</v>
      </c>
      <c r="AD28" s="24">
        <f>SUM(Z28:AC28)</f>
        <v>361256.51275984047</v>
      </c>
      <c r="AE28" s="11">
        <f>SUM(N28:P28)</f>
        <v>382216.68873047037</v>
      </c>
      <c r="AF28" s="11">
        <f>SUM(Q28:S28)</f>
        <v>583344.87437388196</v>
      </c>
      <c r="AG28" s="11">
        <f>SUM(T28:V28)</f>
        <v>825202.99458942679</v>
      </c>
      <c r="AH28" s="11">
        <f>SUM(W28:Y28)</f>
        <v>1106986.5916314537</v>
      </c>
      <c r="AI28" s="12">
        <f>SUM(AE28:AH28)</f>
        <v>2897751.149325233</v>
      </c>
      <c r="AJ28" s="13">
        <f>AD28+AI28</f>
        <v>3259007.6620850735</v>
      </c>
    </row>
    <row r="29" spans="1:36" x14ac:dyDescent="0.2">
      <c r="A29" s="60" t="s">
        <v>68</v>
      </c>
      <c r="B29" s="41">
        <f t="shared" ref="B29:Y29" si="0">B28*12</f>
        <v>0</v>
      </c>
      <c r="C29" s="42">
        <f t="shared" si="0"/>
        <v>0</v>
      </c>
      <c r="D29" s="42">
        <f t="shared" si="0"/>
        <v>20000</v>
      </c>
      <c r="E29" s="42">
        <f t="shared" si="0"/>
        <v>59867.45</v>
      </c>
      <c r="F29" s="42">
        <f t="shared" si="0"/>
        <v>119470.67847512501</v>
      </c>
      <c r="G29" s="42">
        <f t="shared" si="0"/>
        <v>198678.88655353113</v>
      </c>
      <c r="H29" s="42">
        <f t="shared" si="0"/>
        <v>297362.14223289758</v>
      </c>
      <c r="I29" s="42">
        <f t="shared" si="0"/>
        <v>415391.37463524897</v>
      </c>
      <c r="J29" s="42">
        <f t="shared" si="0"/>
        <v>552638.36829985376</v>
      </c>
      <c r="K29" s="42">
        <f t="shared" si="0"/>
        <v>708975.7575139465</v>
      </c>
      <c r="L29" s="42">
        <f t="shared" si="0"/>
        <v>884277.02068102278</v>
      </c>
      <c r="M29" s="43">
        <f t="shared" si="0"/>
        <v>1078416.4747264595</v>
      </c>
      <c r="N29" s="14">
        <f t="shared" si="0"/>
        <v>1291269.2695402098</v>
      </c>
      <c r="O29" s="14">
        <f t="shared" si="0"/>
        <v>1522711.382456332</v>
      </c>
      <c r="P29" s="14">
        <f t="shared" si="0"/>
        <v>1772619.6127691027</v>
      </c>
      <c r="Q29" s="14">
        <f t="shared" si="0"/>
        <v>2040871.5762854754</v>
      </c>
      <c r="R29" s="14">
        <f t="shared" si="0"/>
        <v>2327345.6999136433</v>
      </c>
      <c r="S29" s="14">
        <f t="shared" si="0"/>
        <v>2631921.2162874653</v>
      </c>
      <c r="T29" s="14">
        <f t="shared" si="0"/>
        <v>2954478.1584265204</v>
      </c>
      <c r="U29" s="14">
        <f t="shared" si="0"/>
        <v>3294897.3544315486</v>
      </c>
      <c r="V29" s="14">
        <f t="shared" si="0"/>
        <v>3653060.4222150533</v>
      </c>
      <c r="W29" s="14">
        <f t="shared" si="0"/>
        <v>4028849.764266823</v>
      </c>
      <c r="X29" s="14">
        <f t="shared" si="0"/>
        <v>4422148.5624541435</v>
      </c>
      <c r="Y29" s="14">
        <f t="shared" si="0"/>
        <v>4832840.7728564786</v>
      </c>
      <c r="Z29" s="14">
        <f>D29</f>
        <v>20000</v>
      </c>
      <c r="AA29" s="14">
        <f>G29</f>
        <v>198678.88655353113</v>
      </c>
      <c r="AB29" s="14">
        <f>J29</f>
        <v>552638.36829985376</v>
      </c>
      <c r="AC29" s="14">
        <f>M29</f>
        <v>1078416.4747264595</v>
      </c>
      <c r="AD29" s="25">
        <f>M29</f>
        <v>1078416.4747264595</v>
      </c>
      <c r="AE29" s="14">
        <f>P29</f>
        <v>1772619.6127691027</v>
      </c>
      <c r="AF29" s="14">
        <f>S29</f>
        <v>2631921.2162874653</v>
      </c>
      <c r="AG29" s="14">
        <f>V29</f>
        <v>3653060.4222150533</v>
      </c>
      <c r="AH29" s="14">
        <f>Y29</f>
        <v>4832840.7728564786</v>
      </c>
      <c r="AI29" s="14">
        <f>Y29</f>
        <v>4832840.7728564786</v>
      </c>
      <c r="AJ29" s="14">
        <f>Y29</f>
        <v>4832840.7728564786</v>
      </c>
    </row>
    <row r="30" spans="1:36" x14ac:dyDescent="0.2">
      <c r="A30" s="21"/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1"/>
      <c r="AD30" s="21"/>
    </row>
    <row r="31" spans="1:36" ht="16" x14ac:dyDescent="0.2">
      <c r="A31" s="59" t="s">
        <v>69</v>
      </c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1"/>
      <c r="AD31" s="21"/>
    </row>
    <row r="32" spans="1:36" x14ac:dyDescent="0.2">
      <c r="A32" s="21" t="s">
        <v>70</v>
      </c>
      <c r="B32" s="32">
        <f>C33/B20</f>
        <v>0</v>
      </c>
      <c r="C32" s="33">
        <f>D33/B20</f>
        <v>0</v>
      </c>
      <c r="D32" s="33">
        <f>E33/B20</f>
        <v>0</v>
      </c>
      <c r="E32" s="33">
        <f>F33/B20</f>
        <v>0</v>
      </c>
      <c r="F32" s="33">
        <f>G33/B20</f>
        <v>0</v>
      </c>
      <c r="G32" s="33">
        <f>H33/B20</f>
        <v>0</v>
      </c>
      <c r="H32" s="33">
        <f>I33/B20</f>
        <v>0</v>
      </c>
      <c r="I32" s="33">
        <f>J33/B20</f>
        <v>0</v>
      </c>
      <c r="J32" s="33">
        <f>K33/B20</f>
        <v>0</v>
      </c>
      <c r="K32" s="33">
        <f>L33/B20</f>
        <v>0</v>
      </c>
      <c r="L32" s="33">
        <f>M33/B20</f>
        <v>0</v>
      </c>
      <c r="M32" s="34">
        <f>N33/B20</f>
        <v>0</v>
      </c>
      <c r="N32" s="7">
        <f>O33/B20</f>
        <v>0</v>
      </c>
      <c r="O32" s="7">
        <f>P33/B20</f>
        <v>0</v>
      </c>
      <c r="P32" s="7">
        <f>Q33/B20</f>
        <v>0</v>
      </c>
      <c r="Q32" s="7">
        <f>R33/B20</f>
        <v>0</v>
      </c>
      <c r="R32" s="7">
        <f>S33/B20</f>
        <v>0</v>
      </c>
      <c r="S32" s="7">
        <f>T33/B20</f>
        <v>0</v>
      </c>
      <c r="T32" s="7">
        <f>U33/B20</f>
        <v>0</v>
      </c>
      <c r="U32" s="7">
        <f>V33/B20</f>
        <v>0</v>
      </c>
      <c r="V32" s="7">
        <f>W33/B20</f>
        <v>0</v>
      </c>
      <c r="W32" s="7">
        <f>X33/B20</f>
        <v>0</v>
      </c>
      <c r="X32" s="7">
        <f>Y33/B20</f>
        <v>0</v>
      </c>
      <c r="Y32" s="7">
        <f>Y33/B20</f>
        <v>0</v>
      </c>
      <c r="Z32" s="7">
        <f>SUM(B32:D32)</f>
        <v>0</v>
      </c>
      <c r="AA32" s="7">
        <f>SUM(E32:G32)</f>
        <v>0</v>
      </c>
      <c r="AB32" s="7">
        <f>SUM(H32:J32)</f>
        <v>0</v>
      </c>
      <c r="AC32" s="7">
        <f>SUM(K32:M32)</f>
        <v>0</v>
      </c>
      <c r="AD32" s="22">
        <f>SUM(Z32:AC32)</f>
        <v>0</v>
      </c>
      <c r="AE32" s="7">
        <f>SUM(N32:P32)</f>
        <v>0</v>
      </c>
      <c r="AF32" s="7">
        <f>SUM(Q32:S32)</f>
        <v>0</v>
      </c>
      <c r="AG32" s="7">
        <f>SUM(T32:V32)</f>
        <v>0</v>
      </c>
      <c r="AH32" s="7">
        <f>SUM(W32:Y32)</f>
        <v>0</v>
      </c>
      <c r="AI32" s="8">
        <f>SUM(AE32:AH32)</f>
        <v>0</v>
      </c>
      <c r="AJ32" s="9">
        <f>AD32+AI32</f>
        <v>0</v>
      </c>
    </row>
    <row r="33" spans="1:36" x14ac:dyDescent="0.2">
      <c r="A33" s="21" t="s">
        <v>71</v>
      </c>
      <c r="B33" s="44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6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7">
        <f>SUM(B33:D33)</f>
        <v>0</v>
      </c>
      <c r="AA33" s="7">
        <f>SUM(E33:G33)</f>
        <v>0</v>
      </c>
      <c r="AB33" s="7">
        <f>SUM(H33:J33)</f>
        <v>0</v>
      </c>
      <c r="AC33" s="7">
        <f>SUM(K33:M33)</f>
        <v>0</v>
      </c>
      <c r="AD33" s="22">
        <f>SUM(Z33:AC33)</f>
        <v>0</v>
      </c>
      <c r="AE33" s="7">
        <f>SUM(N33:P33)</f>
        <v>0</v>
      </c>
      <c r="AF33" s="7">
        <f>SUM(Q33:S33)</f>
        <v>0</v>
      </c>
      <c r="AG33" s="7">
        <f>SUM(T33:V33)</f>
        <v>0</v>
      </c>
      <c r="AH33" s="7">
        <f>SUM(W33:Y33)</f>
        <v>0</v>
      </c>
      <c r="AI33" s="8">
        <f>SUM(AE33:AH33)</f>
        <v>0</v>
      </c>
      <c r="AJ33" s="9">
        <f>AD33+AI33</f>
        <v>0</v>
      </c>
    </row>
    <row r="34" spans="1:36" x14ac:dyDescent="0.2">
      <c r="A34" s="21" t="s">
        <v>72</v>
      </c>
      <c r="B34" s="32">
        <f>B33</f>
        <v>0</v>
      </c>
      <c r="C34" s="33">
        <f>B34*(1-B16)+C33</f>
        <v>0</v>
      </c>
      <c r="D34" s="33">
        <f>C34*(1-B16)+D33</f>
        <v>0</v>
      </c>
      <c r="E34" s="33">
        <f>D34*(1-B16)+E33</f>
        <v>0</v>
      </c>
      <c r="F34" s="33">
        <f>E34*(1-B16)+F33</f>
        <v>0</v>
      </c>
      <c r="G34" s="33">
        <f>F34*(1-B16)+G33</f>
        <v>0</v>
      </c>
      <c r="H34" s="33">
        <f>G34*(1-B16)+H33</f>
        <v>0</v>
      </c>
      <c r="I34" s="33">
        <f>H34*(1-B16)+I33</f>
        <v>0</v>
      </c>
      <c r="J34" s="33">
        <f>I34*(1-B16)+J33</f>
        <v>0</v>
      </c>
      <c r="K34" s="33">
        <f>J34*(1-B16)+K33</f>
        <v>0</v>
      </c>
      <c r="L34" s="33">
        <f>K34*(1-B16)+L33</f>
        <v>0</v>
      </c>
      <c r="M34" s="34">
        <f>L34*(1-B16)+M33</f>
        <v>0</v>
      </c>
      <c r="N34" s="7">
        <f>M34*(1-B16)+N33</f>
        <v>0</v>
      </c>
      <c r="O34" s="7">
        <f>N34*(1-B16)+O33</f>
        <v>0</v>
      </c>
      <c r="P34" s="7">
        <f>O34*(1-B16)+P33</f>
        <v>0</v>
      </c>
      <c r="Q34" s="7">
        <f>P34*(1-B16)+Q33</f>
        <v>0</v>
      </c>
      <c r="R34" s="7">
        <f>Q34*(1-B16)+R33</f>
        <v>0</v>
      </c>
      <c r="S34" s="7">
        <f>R34*(1-B16)+S33</f>
        <v>0</v>
      </c>
      <c r="T34" s="7">
        <f>S34*(1-B16)+T33</f>
        <v>0</v>
      </c>
      <c r="U34" s="7">
        <f>T34*(1-B16)+U33</f>
        <v>0</v>
      </c>
      <c r="V34" s="7">
        <f>U34*(1-B16)+V33</f>
        <v>0</v>
      </c>
      <c r="W34" s="7">
        <f>V34*(1-B16)+W33</f>
        <v>0</v>
      </c>
      <c r="X34" s="7">
        <f>W34*(1-B16)+X33</f>
        <v>0</v>
      </c>
      <c r="Y34" s="7">
        <f>X34*(1-B16)+Y33</f>
        <v>0</v>
      </c>
      <c r="Z34" s="7">
        <f>D34</f>
        <v>0</v>
      </c>
      <c r="AA34" s="7">
        <f>G34</f>
        <v>0</v>
      </c>
      <c r="AB34" s="7">
        <f>J34</f>
        <v>0</v>
      </c>
      <c r="AC34" s="7">
        <f>M34</f>
        <v>0</v>
      </c>
      <c r="AD34" s="23">
        <f>M34</f>
        <v>0</v>
      </c>
      <c r="AE34" s="7">
        <f>P34</f>
        <v>0</v>
      </c>
      <c r="AF34" s="7">
        <f>S34</f>
        <v>0</v>
      </c>
      <c r="AG34" s="7">
        <f>V34</f>
        <v>0</v>
      </c>
      <c r="AH34" s="7">
        <f>Y34</f>
        <v>0</v>
      </c>
      <c r="AI34" s="7">
        <f>Y34</f>
        <v>0</v>
      </c>
      <c r="AJ34" s="7">
        <f>Y34</f>
        <v>0</v>
      </c>
    </row>
    <row r="35" spans="1:36" x14ac:dyDescent="0.2">
      <c r="A35" s="21" t="s">
        <v>73</v>
      </c>
      <c r="B35" s="38">
        <f>B34*B8/12</f>
        <v>0</v>
      </c>
      <c r="C35" s="39">
        <f>B35*(1-B16)*(1+B13)+C33*B8/12</f>
        <v>0</v>
      </c>
      <c r="D35" s="39">
        <f>C35*(1-B16)*(1+B13)+D33*B8/12</f>
        <v>0</v>
      </c>
      <c r="E35" s="39">
        <f>D35*(1-B16)*(1+B13)+E33*B8/12</f>
        <v>0</v>
      </c>
      <c r="F35" s="39">
        <f>E35*(1-B16)*(1+B13)+F33*B8/12</f>
        <v>0</v>
      </c>
      <c r="G35" s="39">
        <f>F35*(1-B16)*(1+B13)+G33*B8/12</f>
        <v>0</v>
      </c>
      <c r="H35" s="39">
        <f>G35*(1-B16)*(1+B13)+H33*B8/12</f>
        <v>0</v>
      </c>
      <c r="I35" s="39">
        <f>H35*(1-B16)*(1+B13)+I33*B8/12</f>
        <v>0</v>
      </c>
      <c r="J35" s="39">
        <f>I35*(1-B16)*(1+B13)+J33*B8/12</f>
        <v>0</v>
      </c>
      <c r="K35" s="39">
        <f>J35*(1-B16)*(1+B13)+K33*B8/12</f>
        <v>0</v>
      </c>
      <c r="L35" s="39">
        <f>K35*(1-B16)*(1+B13)+L33*B8/12</f>
        <v>0</v>
      </c>
      <c r="M35" s="40">
        <f>L35*(1-B16)*(1+B13)+M33*B8/12</f>
        <v>0</v>
      </c>
      <c r="N35" s="11">
        <f>M35*(1-B16)*(1+B13)+N33*B8/12</f>
        <v>0</v>
      </c>
      <c r="O35" s="11">
        <f>N35*(1-B16)*(1+B13)+O33*B8/12</f>
        <v>0</v>
      </c>
      <c r="P35" s="11">
        <f>O35*(1-B16)*(1+B13)+P33*B8/12</f>
        <v>0</v>
      </c>
      <c r="Q35" s="11">
        <f>P35*(1-B16)*(1+B13)+Q33*B8/12</f>
        <v>0</v>
      </c>
      <c r="R35" s="11">
        <f>Q35*(1-B16)*(1+B13)+R33*B8/12</f>
        <v>0</v>
      </c>
      <c r="S35" s="11">
        <f>R35*(1-B16)*(1+B13)+S33*B8/12</f>
        <v>0</v>
      </c>
      <c r="T35" s="11">
        <f>S35*(1-B16)*(1+B13)+T33*B8/12</f>
        <v>0</v>
      </c>
      <c r="U35" s="11">
        <f>T35*(1-B16)*(1+B13)+U33*B8/12</f>
        <v>0</v>
      </c>
      <c r="V35" s="11">
        <f>U35*(1-B16)*(1+B13)+V33*B8/12</f>
        <v>0</v>
      </c>
      <c r="W35" s="11">
        <f>V35*(1-B16)*(1+B13)+W33*B8/12</f>
        <v>0</v>
      </c>
      <c r="X35" s="11">
        <f>W35*(1-B16)*(1+B13)+X33*B8/12</f>
        <v>0</v>
      </c>
      <c r="Y35" s="11">
        <f>X35*(1-B16)*(1+B13)+Y33*B8/12</f>
        <v>0</v>
      </c>
      <c r="Z35" s="11">
        <f>SUM(B35:D35)</f>
        <v>0</v>
      </c>
      <c r="AA35" s="11">
        <f>SUM(E35:G35)</f>
        <v>0</v>
      </c>
      <c r="AB35" s="11">
        <f>SUM(H35:J35)</f>
        <v>0</v>
      </c>
      <c r="AC35" s="11">
        <f>SUM(K35:M35)</f>
        <v>0</v>
      </c>
      <c r="AD35" s="24">
        <f>SUM(Z35:AC35)</f>
        <v>0</v>
      </c>
      <c r="AE35" s="11">
        <f>SUM(N35:P35)</f>
        <v>0</v>
      </c>
      <c r="AF35" s="11">
        <f>SUM(Q35:S35)</f>
        <v>0</v>
      </c>
      <c r="AG35" s="11">
        <f>SUM(T35:V35)</f>
        <v>0</v>
      </c>
      <c r="AH35" s="11">
        <f>SUM(W35:Y35)</f>
        <v>0</v>
      </c>
      <c r="AI35" s="12">
        <f>SUM(AE35:AH35)</f>
        <v>0</v>
      </c>
      <c r="AJ35" s="13">
        <f>AD35+AI35</f>
        <v>0</v>
      </c>
    </row>
    <row r="36" spans="1:36" x14ac:dyDescent="0.2">
      <c r="A36" s="60" t="s">
        <v>74</v>
      </c>
      <c r="B36" s="41">
        <f t="shared" ref="B36:Y36" si="1">B35*12</f>
        <v>0</v>
      </c>
      <c r="C36" s="42">
        <f t="shared" si="1"/>
        <v>0</v>
      </c>
      <c r="D36" s="42">
        <f t="shared" si="1"/>
        <v>0</v>
      </c>
      <c r="E36" s="42">
        <f t="shared" si="1"/>
        <v>0</v>
      </c>
      <c r="F36" s="42">
        <f t="shared" si="1"/>
        <v>0</v>
      </c>
      <c r="G36" s="42">
        <f t="shared" si="1"/>
        <v>0</v>
      </c>
      <c r="H36" s="42">
        <f t="shared" si="1"/>
        <v>0</v>
      </c>
      <c r="I36" s="42">
        <f t="shared" si="1"/>
        <v>0</v>
      </c>
      <c r="J36" s="42">
        <f t="shared" si="1"/>
        <v>0</v>
      </c>
      <c r="K36" s="42">
        <f t="shared" si="1"/>
        <v>0</v>
      </c>
      <c r="L36" s="42">
        <f t="shared" si="1"/>
        <v>0</v>
      </c>
      <c r="M36" s="43">
        <f t="shared" si="1"/>
        <v>0</v>
      </c>
      <c r="N36" s="14">
        <f t="shared" si="1"/>
        <v>0</v>
      </c>
      <c r="O36" s="14">
        <f t="shared" si="1"/>
        <v>0</v>
      </c>
      <c r="P36" s="14">
        <f t="shared" si="1"/>
        <v>0</v>
      </c>
      <c r="Q36" s="14">
        <f t="shared" si="1"/>
        <v>0</v>
      </c>
      <c r="R36" s="14">
        <f t="shared" si="1"/>
        <v>0</v>
      </c>
      <c r="S36" s="14">
        <f t="shared" si="1"/>
        <v>0</v>
      </c>
      <c r="T36" s="14">
        <f t="shared" si="1"/>
        <v>0</v>
      </c>
      <c r="U36" s="14">
        <f t="shared" si="1"/>
        <v>0</v>
      </c>
      <c r="V36" s="14">
        <f t="shared" si="1"/>
        <v>0</v>
      </c>
      <c r="W36" s="14">
        <f t="shared" si="1"/>
        <v>0</v>
      </c>
      <c r="X36" s="14">
        <f t="shared" si="1"/>
        <v>0</v>
      </c>
      <c r="Y36" s="14">
        <f t="shared" si="1"/>
        <v>0</v>
      </c>
      <c r="Z36" s="14">
        <f>D36</f>
        <v>0</v>
      </c>
      <c r="AA36" s="14">
        <f>G36</f>
        <v>0</v>
      </c>
      <c r="AB36" s="14">
        <f>J36</f>
        <v>0</v>
      </c>
      <c r="AC36" s="14">
        <f>M36</f>
        <v>0</v>
      </c>
      <c r="AD36" s="25">
        <f>M36</f>
        <v>0</v>
      </c>
      <c r="AE36" s="14">
        <f>P36</f>
        <v>0</v>
      </c>
      <c r="AF36" s="14">
        <f>S36</f>
        <v>0</v>
      </c>
      <c r="AG36" s="14">
        <f>V36</f>
        <v>0</v>
      </c>
      <c r="AH36" s="14">
        <f>Y36</f>
        <v>0</v>
      </c>
      <c r="AI36" s="14">
        <f>Y36</f>
        <v>0</v>
      </c>
      <c r="AJ36" s="14">
        <f>Y36</f>
        <v>0</v>
      </c>
    </row>
    <row r="37" spans="1:36" x14ac:dyDescent="0.2">
      <c r="A37" s="21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1"/>
      <c r="AD37" s="21"/>
    </row>
    <row r="38" spans="1:36" ht="16" x14ac:dyDescent="0.2">
      <c r="A38" s="59" t="s">
        <v>75</v>
      </c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1"/>
      <c r="AD38" s="21"/>
    </row>
    <row r="39" spans="1:36" x14ac:dyDescent="0.2">
      <c r="A39" s="21" t="s">
        <v>76</v>
      </c>
      <c r="B39" s="32">
        <f>C40/B20</f>
        <v>0</v>
      </c>
      <c r="C39" s="33">
        <f>D40/B20</f>
        <v>0</v>
      </c>
      <c r="D39" s="33">
        <f>E40/B20</f>
        <v>0</v>
      </c>
      <c r="E39" s="33">
        <f>F40/B20</f>
        <v>0</v>
      </c>
      <c r="F39" s="33">
        <f>G40/B20</f>
        <v>0</v>
      </c>
      <c r="G39" s="33">
        <f>H40/B20</f>
        <v>0</v>
      </c>
      <c r="H39" s="33">
        <f>I40/B20</f>
        <v>0</v>
      </c>
      <c r="I39" s="33">
        <f>J40/B20</f>
        <v>0</v>
      </c>
      <c r="J39" s="33">
        <f>K40/B20</f>
        <v>0</v>
      </c>
      <c r="K39" s="33">
        <f>L40/B20</f>
        <v>0</v>
      </c>
      <c r="L39" s="33">
        <f>M40/B20</f>
        <v>0</v>
      </c>
      <c r="M39" s="34">
        <f>N40/B20</f>
        <v>0</v>
      </c>
      <c r="N39" s="7">
        <f>O40/B20</f>
        <v>0</v>
      </c>
      <c r="O39" s="7">
        <f>P40/B20</f>
        <v>0</v>
      </c>
      <c r="P39" s="7">
        <f>Q40/B20</f>
        <v>0</v>
      </c>
      <c r="Q39" s="7">
        <f>R40/B20</f>
        <v>0</v>
      </c>
      <c r="R39" s="7">
        <f>S40/B20</f>
        <v>0</v>
      </c>
      <c r="S39" s="7">
        <f>T40/B20</f>
        <v>0</v>
      </c>
      <c r="T39" s="7">
        <f>U40/B20</f>
        <v>0</v>
      </c>
      <c r="U39" s="7">
        <f>V40/B20</f>
        <v>0</v>
      </c>
      <c r="V39" s="7">
        <f>W40/B20</f>
        <v>0</v>
      </c>
      <c r="W39" s="7">
        <f>X40/B20</f>
        <v>0</v>
      </c>
      <c r="X39" s="7">
        <f>Y40/B20</f>
        <v>0</v>
      </c>
      <c r="Y39" s="7">
        <f>Y40/B20</f>
        <v>0</v>
      </c>
      <c r="Z39" s="7">
        <f>SUM(B39:D39)</f>
        <v>0</v>
      </c>
      <c r="AA39" s="7">
        <f>SUM(E39:G39)</f>
        <v>0</v>
      </c>
      <c r="AB39" s="7">
        <f>SUM(H39:J39)</f>
        <v>0</v>
      </c>
      <c r="AC39" s="7">
        <f>SUM(K39:M39)</f>
        <v>0</v>
      </c>
      <c r="AD39" s="22">
        <f>SUM(Z39:AC39)</f>
        <v>0</v>
      </c>
      <c r="AE39" s="7">
        <f>SUM(N39:P39)</f>
        <v>0</v>
      </c>
      <c r="AF39" s="7">
        <f>SUM(Q39:S39)</f>
        <v>0</v>
      </c>
      <c r="AG39" s="7">
        <f>SUM(T39:V39)</f>
        <v>0</v>
      </c>
      <c r="AH39" s="7">
        <f>SUM(W39:Y39)</f>
        <v>0</v>
      </c>
      <c r="AI39" s="8">
        <f>SUM(AE39:AH39)</f>
        <v>0</v>
      </c>
      <c r="AJ39" s="9">
        <f>AD39+AI39</f>
        <v>0</v>
      </c>
    </row>
    <row r="40" spans="1:36" x14ac:dyDescent="0.2">
      <c r="A40" s="21" t="s">
        <v>77</v>
      </c>
      <c r="B40" s="44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6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7">
        <f>SUM(B40:D40)</f>
        <v>0</v>
      </c>
      <c r="AA40" s="7">
        <f>SUM(E40:G40)</f>
        <v>0</v>
      </c>
      <c r="AB40" s="7">
        <f>SUM(H40:J40)</f>
        <v>0</v>
      </c>
      <c r="AC40" s="7">
        <f>SUM(K40:M40)</f>
        <v>0</v>
      </c>
      <c r="AD40" s="22">
        <f>SUM(Z40:AC40)</f>
        <v>0</v>
      </c>
      <c r="AE40" s="7">
        <f>SUM(N40:P40)</f>
        <v>0</v>
      </c>
      <c r="AF40" s="7">
        <f>SUM(Q40:S40)</f>
        <v>0</v>
      </c>
      <c r="AG40" s="7">
        <f>SUM(T40:V40)</f>
        <v>0</v>
      </c>
      <c r="AH40" s="7">
        <f>SUM(W40:Y40)</f>
        <v>0</v>
      </c>
      <c r="AI40" s="8">
        <f>SUM(AE40:AH40)</f>
        <v>0</v>
      </c>
      <c r="AJ40" s="9">
        <f>AD40+AI40</f>
        <v>0</v>
      </c>
    </row>
    <row r="41" spans="1:36" x14ac:dyDescent="0.2">
      <c r="A41" s="21" t="s">
        <v>78</v>
      </c>
      <c r="B41" s="32">
        <f>B40</f>
        <v>0</v>
      </c>
      <c r="C41" s="33">
        <f>B41*(1-B17)+C40</f>
        <v>0</v>
      </c>
      <c r="D41" s="33">
        <f>C41*(1-B17)+D40</f>
        <v>0</v>
      </c>
      <c r="E41" s="33">
        <f>D41*(1-B17)+E40</f>
        <v>0</v>
      </c>
      <c r="F41" s="33">
        <f>E41*(1-B17)+F40</f>
        <v>0</v>
      </c>
      <c r="G41" s="33">
        <f>F41*(1-B17)+G40</f>
        <v>0</v>
      </c>
      <c r="H41" s="33">
        <f>G41*(1-B17)+H40</f>
        <v>0</v>
      </c>
      <c r="I41" s="33">
        <f>H41*(1-B17)+I40</f>
        <v>0</v>
      </c>
      <c r="J41" s="33">
        <f>I41*(1-B17)+J40</f>
        <v>0</v>
      </c>
      <c r="K41" s="33">
        <f>J41*(1-B17)+K40</f>
        <v>0</v>
      </c>
      <c r="L41" s="33">
        <f>K41*(1-B17)+L40</f>
        <v>0</v>
      </c>
      <c r="M41" s="34">
        <f>L41*(1-B17)+M40</f>
        <v>0</v>
      </c>
      <c r="N41" s="7">
        <f>M41*(1-B17)+N40</f>
        <v>0</v>
      </c>
      <c r="O41" s="7">
        <f>N41*(1-B17)+O40</f>
        <v>0</v>
      </c>
      <c r="P41" s="7">
        <f>O41*(1-B17)+P40</f>
        <v>0</v>
      </c>
      <c r="Q41" s="7">
        <f>P41*(1-B17)+Q40</f>
        <v>0</v>
      </c>
      <c r="R41" s="7">
        <f>Q41*(1-B17)+R40</f>
        <v>0</v>
      </c>
      <c r="S41" s="7">
        <f>R41*(1-B17)+S40</f>
        <v>0</v>
      </c>
      <c r="T41" s="7">
        <f>S41*(1-B17)+T40</f>
        <v>0</v>
      </c>
      <c r="U41" s="7">
        <f>T41*(1-B17)+U40</f>
        <v>0</v>
      </c>
      <c r="V41" s="7">
        <f>U41*(1-B17)+V40</f>
        <v>0</v>
      </c>
      <c r="W41" s="7">
        <f>V41*(1-B17)+W40</f>
        <v>0</v>
      </c>
      <c r="X41" s="7">
        <f>W41*(1-B17)+X40</f>
        <v>0</v>
      </c>
      <c r="Y41" s="7">
        <f>X41*(1-B17)+Y40</f>
        <v>0</v>
      </c>
      <c r="Z41" s="7">
        <f>D41</f>
        <v>0</v>
      </c>
      <c r="AA41" s="7">
        <f>G41</f>
        <v>0</v>
      </c>
      <c r="AB41" s="7">
        <f>J41</f>
        <v>0</v>
      </c>
      <c r="AC41" s="7">
        <f>M41</f>
        <v>0</v>
      </c>
      <c r="AD41" s="23">
        <f>M41</f>
        <v>0</v>
      </c>
      <c r="AE41" s="7">
        <f>P41</f>
        <v>0</v>
      </c>
      <c r="AF41" s="7">
        <f>S41</f>
        <v>0</v>
      </c>
      <c r="AG41" s="7">
        <f>V41</f>
        <v>0</v>
      </c>
      <c r="AH41" s="7">
        <f>Y41</f>
        <v>0</v>
      </c>
      <c r="AI41" s="7">
        <f>Y41</f>
        <v>0</v>
      </c>
      <c r="AJ41" s="7">
        <f>Y41</f>
        <v>0</v>
      </c>
    </row>
    <row r="42" spans="1:36" x14ac:dyDescent="0.2">
      <c r="A42" s="21" t="s">
        <v>79</v>
      </c>
      <c r="B42" s="38">
        <f>B41*B9/12</f>
        <v>0</v>
      </c>
      <c r="C42" s="39">
        <f>B42*(1-B17)*(1+B14)+C40*B9/12</f>
        <v>0</v>
      </c>
      <c r="D42" s="39">
        <f>C42*(1-B17)*(1+B14)+D40*B9/12</f>
        <v>0</v>
      </c>
      <c r="E42" s="39">
        <f>D42*(1-B17)*(1+B14)+E40*B9/12</f>
        <v>0</v>
      </c>
      <c r="F42" s="39">
        <f>E42*(1-B17)*(1+B14)+F40*B9/12</f>
        <v>0</v>
      </c>
      <c r="G42" s="39">
        <f>F42*(1-B17)*(1+B14)+G40*B9/12</f>
        <v>0</v>
      </c>
      <c r="H42" s="39">
        <f>G42*(1-B17)*(1+B14)+H40*B9/12</f>
        <v>0</v>
      </c>
      <c r="I42" s="39">
        <f>H42*(1-B17)*(1+B14)+I40*B9/12</f>
        <v>0</v>
      </c>
      <c r="J42" s="39">
        <f>I42*(1-B17)*(1+B14)+J40*B9/12</f>
        <v>0</v>
      </c>
      <c r="K42" s="39">
        <f>J42*(1-B17)*(1+B14)+K40*B9/12</f>
        <v>0</v>
      </c>
      <c r="L42" s="39">
        <f>K42*(1-B17)*(1+B14)+L40*B9/12</f>
        <v>0</v>
      </c>
      <c r="M42" s="40">
        <f>L42*(1-B17)*(1+B14)+M40*B9/12</f>
        <v>0</v>
      </c>
      <c r="N42" s="11">
        <f>M42*(1-B17)*(1+B14)+N40*B9/12</f>
        <v>0</v>
      </c>
      <c r="O42" s="11">
        <f>N42*(1-B17)*(1+B14)+O40*B9/12</f>
        <v>0</v>
      </c>
      <c r="P42" s="11">
        <f>O42*(1-B17)*(1+B14)+P40*B9/12</f>
        <v>0</v>
      </c>
      <c r="Q42" s="11">
        <f>P42*(1-B17)*(1+B14)+Q40*B9/12</f>
        <v>0</v>
      </c>
      <c r="R42" s="11">
        <f>Q42*(1-B17)*(1+B14)+R40*B9/12</f>
        <v>0</v>
      </c>
      <c r="S42" s="11">
        <f>R42*(1-B17)*(1+B14)+S40*B9/12</f>
        <v>0</v>
      </c>
      <c r="T42" s="11">
        <f>S42*(1-B17)*(1+B14)+T40*B9/12</f>
        <v>0</v>
      </c>
      <c r="U42" s="11">
        <f>T42*(1-B17)*(1+B14)+U40*B9/12</f>
        <v>0</v>
      </c>
      <c r="V42" s="11">
        <f>U42*(1-B17)*(1+B14)+V40*B9/12</f>
        <v>0</v>
      </c>
      <c r="W42" s="11">
        <f>V42*(1-B17)*(1+B14)+W40*B9/12</f>
        <v>0</v>
      </c>
      <c r="X42" s="11">
        <f>W42*(1-B17)*(1+B14)+X40*B9/12</f>
        <v>0</v>
      </c>
      <c r="Y42" s="11">
        <f>X42*(1-B17)*(1+B14)+Y40*B9/12</f>
        <v>0</v>
      </c>
      <c r="Z42" s="11">
        <f>SUM(B42:D42)</f>
        <v>0</v>
      </c>
      <c r="AA42" s="11">
        <f>SUM(E42:G42)</f>
        <v>0</v>
      </c>
      <c r="AB42" s="11">
        <f>SUM(H42:J42)</f>
        <v>0</v>
      </c>
      <c r="AC42" s="11">
        <f>SUM(K42:M42)</f>
        <v>0</v>
      </c>
      <c r="AD42" s="24">
        <f>SUM(Z42:AC42)</f>
        <v>0</v>
      </c>
      <c r="AE42" s="11">
        <f>SUM(N42:P42)</f>
        <v>0</v>
      </c>
      <c r="AF42" s="11">
        <f>SUM(Q42:S42)</f>
        <v>0</v>
      </c>
      <c r="AG42" s="11">
        <f>SUM(T42:V42)</f>
        <v>0</v>
      </c>
      <c r="AH42" s="11">
        <f>SUM(W42:Y42)</f>
        <v>0</v>
      </c>
      <c r="AI42" s="12">
        <f>SUM(AE42:AH42)</f>
        <v>0</v>
      </c>
      <c r="AJ42" s="13">
        <f>AD42+AI42</f>
        <v>0</v>
      </c>
    </row>
    <row r="43" spans="1:36" x14ac:dyDescent="0.2">
      <c r="A43" s="60" t="s">
        <v>80</v>
      </c>
      <c r="B43" s="41">
        <f t="shared" ref="B43:Y43" si="2">B42*12</f>
        <v>0</v>
      </c>
      <c r="C43" s="42">
        <f t="shared" si="2"/>
        <v>0</v>
      </c>
      <c r="D43" s="42">
        <f t="shared" si="2"/>
        <v>0</v>
      </c>
      <c r="E43" s="42">
        <f t="shared" si="2"/>
        <v>0</v>
      </c>
      <c r="F43" s="42">
        <f t="shared" si="2"/>
        <v>0</v>
      </c>
      <c r="G43" s="42">
        <f t="shared" si="2"/>
        <v>0</v>
      </c>
      <c r="H43" s="42">
        <f t="shared" si="2"/>
        <v>0</v>
      </c>
      <c r="I43" s="42">
        <f t="shared" si="2"/>
        <v>0</v>
      </c>
      <c r="J43" s="42">
        <f t="shared" si="2"/>
        <v>0</v>
      </c>
      <c r="K43" s="42">
        <f t="shared" si="2"/>
        <v>0</v>
      </c>
      <c r="L43" s="42">
        <f t="shared" si="2"/>
        <v>0</v>
      </c>
      <c r="M43" s="43">
        <f t="shared" si="2"/>
        <v>0</v>
      </c>
      <c r="N43" s="14">
        <f t="shared" si="2"/>
        <v>0</v>
      </c>
      <c r="O43" s="14">
        <f t="shared" si="2"/>
        <v>0</v>
      </c>
      <c r="P43" s="14">
        <f t="shared" si="2"/>
        <v>0</v>
      </c>
      <c r="Q43" s="14">
        <f t="shared" si="2"/>
        <v>0</v>
      </c>
      <c r="R43" s="14">
        <f t="shared" si="2"/>
        <v>0</v>
      </c>
      <c r="S43" s="14">
        <f t="shared" si="2"/>
        <v>0</v>
      </c>
      <c r="T43" s="14">
        <f t="shared" si="2"/>
        <v>0</v>
      </c>
      <c r="U43" s="14">
        <f t="shared" si="2"/>
        <v>0</v>
      </c>
      <c r="V43" s="14">
        <f t="shared" si="2"/>
        <v>0</v>
      </c>
      <c r="W43" s="14">
        <f t="shared" si="2"/>
        <v>0</v>
      </c>
      <c r="X43" s="14">
        <f t="shared" si="2"/>
        <v>0</v>
      </c>
      <c r="Y43" s="14">
        <f t="shared" si="2"/>
        <v>0</v>
      </c>
      <c r="Z43" s="14">
        <f>D43</f>
        <v>0</v>
      </c>
      <c r="AA43" s="14">
        <f>G43</f>
        <v>0</v>
      </c>
      <c r="AB43" s="14">
        <f>J43</f>
        <v>0</v>
      </c>
      <c r="AC43" s="14">
        <f>M43</f>
        <v>0</v>
      </c>
      <c r="AD43" s="25">
        <f>M43</f>
        <v>0</v>
      </c>
      <c r="AE43" s="14">
        <f>P43</f>
        <v>0</v>
      </c>
      <c r="AF43" s="14">
        <f>S43</f>
        <v>0</v>
      </c>
      <c r="AG43" s="14">
        <f>V43</f>
        <v>0</v>
      </c>
      <c r="AH43" s="14">
        <f>Y43</f>
        <v>0</v>
      </c>
      <c r="AI43" s="14">
        <f>Y43</f>
        <v>0</v>
      </c>
      <c r="AJ43" s="14">
        <f>Y43</f>
        <v>0</v>
      </c>
    </row>
    <row r="44" spans="1:36" x14ac:dyDescent="0.2">
      <c r="A44" s="21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1"/>
      <c r="AD44" s="21"/>
    </row>
    <row r="45" spans="1:36" ht="16" x14ac:dyDescent="0.2">
      <c r="A45" s="61" t="s">
        <v>81</v>
      </c>
      <c r="B45" s="29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1"/>
      <c r="AD45" s="21"/>
    </row>
    <row r="46" spans="1:36" x14ac:dyDescent="0.2">
      <c r="A46" s="60" t="s">
        <v>82</v>
      </c>
      <c r="B46" s="47">
        <f t="shared" ref="B46:Y46" si="3">B27+B34+B41</f>
        <v>0</v>
      </c>
      <c r="C46" s="48">
        <f t="shared" si="3"/>
        <v>0</v>
      </c>
      <c r="D46" s="48">
        <f t="shared" si="3"/>
        <v>1</v>
      </c>
      <c r="E46" s="48">
        <f t="shared" si="3"/>
        <v>2.9849999999999999</v>
      </c>
      <c r="F46" s="48">
        <f t="shared" si="3"/>
        <v>5.9402249999999999</v>
      </c>
      <c r="G46" s="48">
        <f t="shared" si="3"/>
        <v>9.8511216250000011</v>
      </c>
      <c r="H46" s="48">
        <f t="shared" si="3"/>
        <v>14.703354800625</v>
      </c>
      <c r="I46" s="48">
        <f t="shared" si="3"/>
        <v>20.482804478615627</v>
      </c>
      <c r="J46" s="48">
        <f t="shared" si="3"/>
        <v>27.175562411436392</v>
      </c>
      <c r="K46" s="48">
        <f t="shared" si="3"/>
        <v>34.767928975264844</v>
      </c>
      <c r="L46" s="48">
        <f t="shared" si="3"/>
        <v>43.246410040635872</v>
      </c>
      <c r="M46" s="49">
        <f t="shared" si="3"/>
        <v>52.597713890026334</v>
      </c>
      <c r="N46" s="16">
        <f t="shared" si="3"/>
        <v>62.808748181675938</v>
      </c>
      <c r="O46" s="16">
        <f t="shared" si="3"/>
        <v>73.8666169589508</v>
      </c>
      <c r="P46" s="16">
        <f t="shared" si="3"/>
        <v>85.758617704566532</v>
      </c>
      <c r="Q46" s="16">
        <f t="shared" si="3"/>
        <v>98.472238438998033</v>
      </c>
      <c r="R46" s="16">
        <f t="shared" si="3"/>
        <v>111.99515486241306</v>
      </c>
      <c r="S46" s="16">
        <f t="shared" si="3"/>
        <v>126.31522753947687</v>
      </c>
      <c r="T46" s="16">
        <f t="shared" si="3"/>
        <v>141.4204991263847</v>
      </c>
      <c r="U46" s="16">
        <f t="shared" si="3"/>
        <v>157.29919163948892</v>
      </c>
      <c r="V46" s="16">
        <f t="shared" si="3"/>
        <v>173.93970376489659</v>
      </c>
      <c r="W46" s="16">
        <f t="shared" si="3"/>
        <v>191.33060820842314</v>
      </c>
      <c r="X46" s="16">
        <f t="shared" si="3"/>
        <v>209.46064908529681</v>
      </c>
      <c r="Y46" s="16">
        <f t="shared" si="3"/>
        <v>228.31873934901736</v>
      </c>
      <c r="Z46" s="16">
        <f>D46</f>
        <v>1</v>
      </c>
      <c r="AA46" s="16">
        <f>G46</f>
        <v>9.8511216250000011</v>
      </c>
      <c r="AB46" s="16">
        <f>J46</f>
        <v>27.175562411436392</v>
      </c>
      <c r="AC46" s="16">
        <f>M46</f>
        <v>52.597713890026334</v>
      </c>
      <c r="AD46" s="26">
        <f>M46</f>
        <v>52.597713890026334</v>
      </c>
      <c r="AE46" s="16">
        <f>P46</f>
        <v>85.758617704566532</v>
      </c>
      <c r="AF46" s="16">
        <f>S46</f>
        <v>126.31522753947687</v>
      </c>
      <c r="AG46" s="16">
        <f>V46</f>
        <v>173.93970376489659</v>
      </c>
      <c r="AH46" s="16">
        <f>Y46</f>
        <v>228.31873934901736</v>
      </c>
      <c r="AI46" s="16">
        <f>Y46</f>
        <v>228.31873934901736</v>
      </c>
      <c r="AJ46" s="16">
        <f>Y46</f>
        <v>228.31873934901736</v>
      </c>
    </row>
    <row r="47" spans="1:36" x14ac:dyDescent="0.2">
      <c r="A47" s="60" t="s">
        <v>83</v>
      </c>
      <c r="B47" s="50">
        <f t="shared" ref="B47:Y47" si="4">B28+B35+B42</f>
        <v>0</v>
      </c>
      <c r="C47" s="51">
        <f t="shared" si="4"/>
        <v>0</v>
      </c>
      <c r="D47" s="51">
        <f t="shared" si="4"/>
        <v>1666.6666666666667</v>
      </c>
      <c r="E47" s="51">
        <f t="shared" si="4"/>
        <v>4988.9541666666664</v>
      </c>
      <c r="F47" s="51">
        <f t="shared" si="4"/>
        <v>9955.8898729270841</v>
      </c>
      <c r="G47" s="51">
        <f t="shared" si="4"/>
        <v>16556.573879460928</v>
      </c>
      <c r="H47" s="51">
        <f t="shared" si="4"/>
        <v>24780.178519408131</v>
      </c>
      <c r="I47" s="51">
        <f t="shared" si="4"/>
        <v>34615.947886270747</v>
      </c>
      <c r="J47" s="51">
        <f t="shared" si="4"/>
        <v>46053.197358321151</v>
      </c>
      <c r="K47" s="51">
        <f t="shared" si="4"/>
        <v>59081.313126162211</v>
      </c>
      <c r="L47" s="51">
        <f t="shared" si="4"/>
        <v>73689.751723418565</v>
      </c>
      <c r="M47" s="52">
        <f t="shared" si="4"/>
        <v>89868.03956053828</v>
      </c>
      <c r="N47" s="12">
        <f t="shared" si="4"/>
        <v>107605.77246168414</v>
      </c>
      <c r="O47" s="12">
        <f t="shared" si="4"/>
        <v>126892.61520469433</v>
      </c>
      <c r="P47" s="12">
        <f t="shared" si="4"/>
        <v>147718.30106409188</v>
      </c>
      <c r="Q47" s="12">
        <f t="shared" si="4"/>
        <v>170072.63135712294</v>
      </c>
      <c r="R47" s="12">
        <f t="shared" si="4"/>
        <v>193945.47499280359</v>
      </c>
      <c r="S47" s="12">
        <f t="shared" si="4"/>
        <v>219326.76802395543</v>
      </c>
      <c r="T47" s="12">
        <f t="shared" si="4"/>
        <v>246206.51320221002</v>
      </c>
      <c r="U47" s="12">
        <f t="shared" si="4"/>
        <v>274574.77953596239</v>
      </c>
      <c r="V47" s="12">
        <f t="shared" si="4"/>
        <v>304421.70185125445</v>
      </c>
      <c r="W47" s="12">
        <f t="shared" si="4"/>
        <v>335737.48035556858</v>
      </c>
      <c r="X47" s="12">
        <f t="shared" si="4"/>
        <v>368512.38020451198</v>
      </c>
      <c r="Y47" s="12">
        <f t="shared" si="4"/>
        <v>402736.73107137321</v>
      </c>
      <c r="Z47" s="11">
        <f>SUM(B47:D47)</f>
        <v>1666.6666666666667</v>
      </c>
      <c r="AA47" s="11">
        <f>SUM(E47:G47)</f>
        <v>31501.417919054678</v>
      </c>
      <c r="AB47" s="11">
        <f>SUM(H47:J47)</f>
        <v>105449.32376400003</v>
      </c>
      <c r="AC47" s="11">
        <f>SUM(K47:M47)</f>
        <v>222639.10441011906</v>
      </c>
      <c r="AD47" s="24">
        <f>SUM(Z47:AC47)</f>
        <v>361256.51275984047</v>
      </c>
      <c r="AE47" s="11">
        <f>SUM(N47:P47)</f>
        <v>382216.68873047037</v>
      </c>
      <c r="AF47" s="11">
        <f>SUM(Q47:S47)</f>
        <v>583344.87437388196</v>
      </c>
      <c r="AG47" s="11">
        <f>SUM(T47:V47)</f>
        <v>825202.99458942679</v>
      </c>
      <c r="AH47" s="11">
        <f>SUM(W47:Y47)</f>
        <v>1106986.5916314537</v>
      </c>
      <c r="AI47" s="12">
        <f>SUM(AE47:AH47)</f>
        <v>2897751.149325233</v>
      </c>
      <c r="AJ47" s="13">
        <f>AD47+AI47</f>
        <v>3259007.6620850735</v>
      </c>
    </row>
    <row r="48" spans="1:36" x14ac:dyDescent="0.2">
      <c r="A48" s="60" t="s">
        <v>84</v>
      </c>
      <c r="B48" s="53">
        <f t="shared" ref="B48:Y48" si="5">B29+B36+B43</f>
        <v>0</v>
      </c>
      <c r="C48" s="54">
        <f t="shared" si="5"/>
        <v>0</v>
      </c>
      <c r="D48" s="54">
        <f t="shared" si="5"/>
        <v>20000</v>
      </c>
      <c r="E48" s="54">
        <f t="shared" si="5"/>
        <v>59867.45</v>
      </c>
      <c r="F48" s="54">
        <f t="shared" si="5"/>
        <v>119470.67847512501</v>
      </c>
      <c r="G48" s="54">
        <f t="shared" si="5"/>
        <v>198678.88655353113</v>
      </c>
      <c r="H48" s="54">
        <f t="shared" si="5"/>
        <v>297362.14223289758</v>
      </c>
      <c r="I48" s="54">
        <f t="shared" si="5"/>
        <v>415391.37463524897</v>
      </c>
      <c r="J48" s="54">
        <f t="shared" si="5"/>
        <v>552638.36829985376</v>
      </c>
      <c r="K48" s="54">
        <f t="shared" si="5"/>
        <v>708975.7575139465</v>
      </c>
      <c r="L48" s="54">
        <f t="shared" si="5"/>
        <v>884277.02068102278</v>
      </c>
      <c r="M48" s="55">
        <f t="shared" si="5"/>
        <v>1078416.4747264595</v>
      </c>
      <c r="N48" s="13">
        <f t="shared" si="5"/>
        <v>1291269.2695402098</v>
      </c>
      <c r="O48" s="13">
        <f t="shared" si="5"/>
        <v>1522711.382456332</v>
      </c>
      <c r="P48" s="13">
        <f t="shared" si="5"/>
        <v>1772619.6127691027</v>
      </c>
      <c r="Q48" s="13">
        <f t="shared" si="5"/>
        <v>2040871.5762854754</v>
      </c>
      <c r="R48" s="13">
        <f t="shared" si="5"/>
        <v>2327345.6999136433</v>
      </c>
      <c r="S48" s="13">
        <f t="shared" si="5"/>
        <v>2631921.2162874653</v>
      </c>
      <c r="T48" s="13">
        <f t="shared" si="5"/>
        <v>2954478.1584265204</v>
      </c>
      <c r="U48" s="13">
        <f t="shared" si="5"/>
        <v>3294897.3544315486</v>
      </c>
      <c r="V48" s="13">
        <f t="shared" si="5"/>
        <v>3653060.4222150533</v>
      </c>
      <c r="W48" s="13">
        <f t="shared" si="5"/>
        <v>4028849.764266823</v>
      </c>
      <c r="X48" s="13">
        <f t="shared" si="5"/>
        <v>4422148.5624541435</v>
      </c>
      <c r="Y48" s="13">
        <f t="shared" si="5"/>
        <v>4832840.7728564786</v>
      </c>
      <c r="Z48" s="13">
        <f>D48</f>
        <v>20000</v>
      </c>
      <c r="AA48" s="13">
        <f>G48</f>
        <v>198678.88655353113</v>
      </c>
      <c r="AB48" s="13">
        <f>J48</f>
        <v>552638.36829985376</v>
      </c>
      <c r="AC48" s="13">
        <f>M48</f>
        <v>1078416.4747264595</v>
      </c>
      <c r="AD48" s="27">
        <f>M48</f>
        <v>1078416.4747264595</v>
      </c>
      <c r="AE48" s="13">
        <f>P48</f>
        <v>1772619.6127691027</v>
      </c>
      <c r="AF48" s="13">
        <f>S48</f>
        <v>2631921.2162874653</v>
      </c>
      <c r="AG48" s="13">
        <f>V48</f>
        <v>3653060.4222150533</v>
      </c>
      <c r="AH48" s="13">
        <f>Y48</f>
        <v>4832840.7728564786</v>
      </c>
      <c r="AI48" s="13">
        <f>Y48</f>
        <v>4832840.7728564786</v>
      </c>
      <c r="AJ48" s="13">
        <f>Y48</f>
        <v>4832840.7728564786</v>
      </c>
    </row>
    <row r="49" spans="1:36" ht="16" thickBot="1" x14ac:dyDescent="0.25">
      <c r="A49" s="62" t="s">
        <v>85</v>
      </c>
      <c r="B49" s="56">
        <f>B47</f>
        <v>0</v>
      </c>
      <c r="C49" s="57">
        <f t="shared" ref="C49:Y49" si="6">B49+C47</f>
        <v>0</v>
      </c>
      <c r="D49" s="57">
        <f t="shared" si="6"/>
        <v>1666.6666666666667</v>
      </c>
      <c r="E49" s="57">
        <f t="shared" si="6"/>
        <v>6655.6208333333334</v>
      </c>
      <c r="F49" s="57">
        <f t="shared" si="6"/>
        <v>16611.510706260418</v>
      </c>
      <c r="G49" s="57">
        <f t="shared" si="6"/>
        <v>33168.084585721343</v>
      </c>
      <c r="H49" s="57">
        <f t="shared" si="6"/>
        <v>57948.263105129474</v>
      </c>
      <c r="I49" s="57">
        <f t="shared" si="6"/>
        <v>92564.210991400221</v>
      </c>
      <c r="J49" s="57">
        <f t="shared" si="6"/>
        <v>138617.40834972137</v>
      </c>
      <c r="K49" s="57">
        <f t="shared" si="6"/>
        <v>197698.72147588359</v>
      </c>
      <c r="L49" s="57">
        <f t="shared" si="6"/>
        <v>271388.47319930216</v>
      </c>
      <c r="M49" s="58">
        <f t="shared" si="6"/>
        <v>361256.51275984047</v>
      </c>
      <c r="N49" s="17">
        <f t="shared" si="6"/>
        <v>468862.28522152459</v>
      </c>
      <c r="O49" s="17">
        <f t="shared" si="6"/>
        <v>595754.90042621898</v>
      </c>
      <c r="P49" s="17">
        <f t="shared" si="6"/>
        <v>743473.20149031084</v>
      </c>
      <c r="Q49" s="17">
        <f t="shared" si="6"/>
        <v>913545.83284743375</v>
      </c>
      <c r="R49" s="17">
        <f t="shared" si="6"/>
        <v>1107491.3078402374</v>
      </c>
      <c r="S49" s="17">
        <f t="shared" si="6"/>
        <v>1326818.0758641928</v>
      </c>
      <c r="T49" s="17">
        <f t="shared" si="6"/>
        <v>1573024.5890664028</v>
      </c>
      <c r="U49" s="17">
        <f t="shared" si="6"/>
        <v>1847599.3686023653</v>
      </c>
      <c r="V49" s="17">
        <f t="shared" si="6"/>
        <v>2152021.0704536196</v>
      </c>
      <c r="W49" s="17">
        <f t="shared" si="6"/>
        <v>2487758.5508091883</v>
      </c>
      <c r="X49" s="17">
        <f t="shared" si="6"/>
        <v>2856270.9310137001</v>
      </c>
      <c r="Y49" s="17">
        <f t="shared" si="6"/>
        <v>3259007.6620850731</v>
      </c>
      <c r="Z49" s="11">
        <f>SUM(B49:D49)</f>
        <v>1666.6666666666667</v>
      </c>
      <c r="AA49" s="11">
        <f>SUM(E49:G49)</f>
        <v>56435.216125315099</v>
      </c>
      <c r="AB49" s="11">
        <f>SUM(H49:J49)</f>
        <v>289129.88244625111</v>
      </c>
      <c r="AC49" s="11">
        <f>SUM(K49:M49)</f>
        <v>830343.70743502618</v>
      </c>
      <c r="AD49" s="28">
        <f>SUM(Z49:AC49)</f>
        <v>1177575.472673259</v>
      </c>
      <c r="AE49" s="11">
        <f>SUM(N49:P49)</f>
        <v>1808090.3871380542</v>
      </c>
      <c r="AF49" s="11">
        <f>SUM(Q49:S49)</f>
        <v>3347855.2165518636</v>
      </c>
      <c r="AG49" s="11">
        <f>SUM(T49:V49)</f>
        <v>5572645.0281223878</v>
      </c>
      <c r="AH49" s="11">
        <f>SUM(W49:Y49)</f>
        <v>8603037.1439079605</v>
      </c>
      <c r="AI49" s="12">
        <f>SUM(AE49:AH49)</f>
        <v>19331627.775720268</v>
      </c>
      <c r="AJ49" s="13">
        <f>AD49+AI49</f>
        <v>20509203.248393528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Model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2025-11-10T12:43:14Z</dcterms:created>
  <dcterms:modified xsi:type="dcterms:W3CDTF">2025-11-10T15:58:46Z</dcterms:modified>
  <cp:category/>
</cp:coreProperties>
</file>