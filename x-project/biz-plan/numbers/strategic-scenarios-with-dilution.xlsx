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1_Lean" sheetId="1" state="visible" r:id="rId1"/>
    <sheet xmlns:r="http://schemas.openxmlformats.org/officeDocument/2006/relationships" name="Path2_Liquidate" sheetId="2" state="visible" r:id="rId2"/>
    <sheet xmlns:r="http://schemas.openxmlformats.org/officeDocument/2006/relationships" name="Path3_GrowthBoth" sheetId="3" state="visible" r:id="rId3"/>
    <sheet xmlns:r="http://schemas.openxmlformats.org/officeDocument/2006/relationships" name="Path4_Strategic" sheetId="4" state="visible" r:id="rId4"/>
    <sheet xmlns:r="http://schemas.openxmlformats.org/officeDocument/2006/relationships" name="Summary_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.0&quot;M&quot;"/>
    <numFmt numFmtId="166" formatCode="$#,##0&quot;M&quot;"/>
    <numFmt numFmtId="167" formatCode="0.0x"/>
  </numFmts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1A9DB"/>
      <sz val="11"/>
    </font>
    <font>
      <color rgb="000000FF"/>
    </font>
    <font>
      <i val="1"/>
      <color rgb="00666666"/>
      <sz val="9"/>
    </font>
    <font>
      <b val="1"/>
    </font>
    <font>
      <b val="1"/>
      <color rgb="0001A9DB"/>
      <sz val="12"/>
    </font>
    <font>
      <b val="1"/>
      <color rgb="002E7D32"/>
    </font>
    <font>
      <i val="1"/>
      <color rgb="002E7D32"/>
      <sz val="9"/>
    </font>
    <font>
      <b val="1"/>
      <color rgb="00FB4100"/>
    </font>
    <font>
      <b val="1"/>
      <color rgb="0001A9DB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07253D"/>
      </patternFill>
    </fill>
    <fill>
      <patternFill patternType="solid">
        <fgColor rgb="00F4F6F6"/>
      </patternFill>
    </fill>
    <fill>
      <patternFill patternType="solid">
        <fgColor rgb="0001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9" fontId="3" fillId="0" borderId="0" pivotButton="0" quotePrefix="0" xfId="0"/>
    <xf numFmtId="166" fontId="3" fillId="0" borderId="0" pivotButton="0" quotePrefix="0" xfId="0"/>
    <xf numFmtId="9" fontId="0" fillId="0" borderId="0" pivotButton="0" quotePrefix="0" xfId="0"/>
    <xf numFmtId="165" fontId="0" fillId="0" borderId="0" pivotButton="0" quotePrefix="0" xfId="0"/>
    <xf numFmtId="165" fontId="5" fillId="0" borderId="0" pivotButton="0" quotePrefix="0" xfId="0"/>
    <xf numFmtId="165" fontId="6" fillId="0" borderId="0" pivotButton="0" quotePrefix="0" xfId="0"/>
    <xf numFmtId="9" fontId="7" fillId="0" borderId="0" pivotButton="0" quotePrefix="0" xfId="0"/>
    <xf numFmtId="164" fontId="0" fillId="0" borderId="0" pivotButton="0" quotePrefix="0" xfId="0"/>
    <xf numFmtId="164" fontId="7" fillId="0" borderId="0" pivotButton="0" quotePrefix="0" xfId="0"/>
    <xf numFmtId="166" fontId="0" fillId="0" borderId="0" pivotButton="0" quotePrefix="0" xfId="0"/>
    <xf numFmtId="0" fontId="8" fillId="0" borderId="0" pivotButton="0" quotePrefix="0" xfId="0"/>
    <xf numFmtId="165" fontId="9" fillId="0" borderId="0" pivotButton="0" quotePrefix="0" xfId="0"/>
    <xf numFmtId="0" fontId="5" fillId="3" borderId="0" pivotButton="0" quotePrefix="0" xfId="0"/>
    <xf numFmtId="165" fontId="10" fillId="0" borderId="0" pivotButton="0" quotePrefix="0" xfId="0"/>
    <xf numFmtId="167" fontId="0" fillId="0" borderId="0" pivotButton="0" quotePrefix="0" xfId="0"/>
    <xf numFmtId="0" fontId="1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PATH 1: LEAN BOOTSTRAP - No External Dilution</t>
        </is>
      </c>
    </row>
    <row r="3">
      <c r="A3" s="2" t="inlineStr">
        <is>
          <t>STARTING POSITION</t>
        </is>
      </c>
    </row>
    <row r="4">
      <c r="B4" t="inlineStr">
        <is>
          <t>Founder ownership</t>
        </is>
      </c>
      <c r="C4" s="3" t="n">
        <v>1</v>
      </c>
    </row>
    <row r="5">
      <c r="B5" t="inlineStr">
        <is>
          <t>Services revenue ($M)</t>
        </is>
      </c>
      <c r="C5" s="4" t="n">
        <v>4</v>
      </c>
    </row>
    <row r="6">
      <c r="B6" t="inlineStr">
        <is>
          <t>Services EBITDA margin</t>
        </is>
      </c>
      <c r="C6" s="3" t="n">
        <v>0.15</v>
      </c>
    </row>
    <row r="7">
      <c r="B7" t="inlineStr">
        <is>
          <t>Annual cash for product ($M)</t>
        </is>
      </c>
      <c r="C7" s="4" t="n">
        <v>0.3</v>
      </c>
    </row>
    <row r="9">
      <c r="A9" s="2" t="inlineStr">
        <is>
          <t>CAPITAL STRUCTURE</t>
        </is>
      </c>
    </row>
    <row r="10">
      <c r="B10" s="5" t="inlineStr">
        <is>
          <t>No external funding - 100% self-funded from services cash flow</t>
        </is>
      </c>
    </row>
    <row r="11">
      <c r="B11" t="inlineStr">
        <is>
          <t>Founder retains 100% ownership throughout</t>
        </is>
      </c>
    </row>
    <row r="13">
      <c r="A13" s="2" t="inlineStr">
        <is>
          <t>3-YEAR EXIT SCENARIOS</t>
        </is>
      </c>
    </row>
    <row r="14">
      <c r="B14" s="6" t="inlineStr">
        <is>
          <t>Scenario</t>
        </is>
      </c>
      <c r="C14" s="6" t="inlineStr">
        <is>
          <t>Probability</t>
        </is>
      </c>
      <c r="D14" s="6" t="inlineStr">
        <is>
          <t>Enterprise Value</t>
        </is>
      </c>
      <c r="E14" s="6" t="inlineStr">
        <is>
          <t>Founder %</t>
        </is>
      </c>
      <c r="F14" s="6" t="inlineStr">
        <is>
          <t>Founder Value</t>
        </is>
      </c>
    </row>
    <row r="15">
      <c r="B15" t="inlineStr">
        <is>
          <t>Product gains traction</t>
        </is>
      </c>
      <c r="C15" s="7" t="n">
        <v>0.25</v>
      </c>
      <c r="D15" s="8" t="n">
        <v>30</v>
      </c>
      <c r="E15" s="9">
        <f>C4</f>
        <v/>
      </c>
      <c r="F15" s="10">
        <f>D15*E15</f>
        <v/>
      </c>
    </row>
    <row r="16">
      <c r="B16" t="inlineStr">
        <is>
          <t>Modest services growth</t>
        </is>
      </c>
      <c r="C16" s="7" t="n">
        <v>0.5</v>
      </c>
      <c r="D16" s="8" t="n">
        <v>14</v>
      </c>
      <c r="E16" s="9">
        <f>C4</f>
        <v/>
      </c>
      <c r="F16" s="10">
        <f>D16*E16</f>
        <v/>
      </c>
    </row>
    <row r="17">
      <c r="B17" t="inlineStr">
        <is>
          <t>Business stagnates</t>
        </is>
      </c>
      <c r="C17" s="7" t="n">
        <v>0.25</v>
      </c>
      <c r="D17" s="8" t="n">
        <v>8</v>
      </c>
      <c r="E17" s="9">
        <f>C4</f>
        <v/>
      </c>
      <c r="F17" s="10">
        <f>D17*E17</f>
        <v/>
      </c>
    </row>
    <row r="19">
      <c r="A19" s="2" t="inlineStr">
        <is>
          <t>SUMMARY</t>
        </is>
      </c>
    </row>
    <row r="20">
      <c r="B20" t="inlineStr">
        <is>
          <t>Expected Enterprise Value</t>
        </is>
      </c>
      <c r="C20" s="11">
        <f>SUMPRODUCT(C15:C17,D15:D17)</f>
        <v/>
      </c>
    </row>
    <row r="21">
      <c r="B21" t="inlineStr">
        <is>
          <t>Expected Founder Value</t>
        </is>
      </c>
      <c r="C21" s="12">
        <f>SUMPRODUCT(C15:C17,F15:F17)</f>
        <v/>
      </c>
    </row>
    <row r="22">
      <c r="B22" t="inlineStr">
        <is>
          <t>Final Founder Ownership</t>
        </is>
      </c>
      <c r="C22" s="13">
        <f>C4</f>
        <v/>
      </c>
    </row>
    <row r="23">
      <c r="B23" t="inlineStr">
        <is>
          <t>Total Dilution</t>
        </is>
      </c>
      <c r="C23" s="9">
        <f>1-C22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PATH 2: LIQUIDATE - Sell Services, All-In Product</t>
        </is>
      </c>
    </row>
    <row r="3">
      <c r="A3" s="2" t="inlineStr">
        <is>
          <t>STARTING POSITION</t>
        </is>
      </c>
    </row>
    <row r="4">
      <c r="B4" t="inlineStr">
        <is>
          <t>Founder ownership</t>
        </is>
      </c>
      <c r="C4" s="3" t="n">
        <v>1</v>
      </c>
    </row>
    <row r="5">
      <c r="B5" t="inlineStr">
        <is>
          <t>Services sale price ($M)</t>
        </is>
      </c>
      <c r="C5" s="4" t="n">
        <v>10</v>
      </c>
    </row>
    <row r="6">
      <c r="B6" t="inlineStr">
        <is>
          <t>Founder take from sale ($M)</t>
        </is>
      </c>
      <c r="C6" s="4" t="n">
        <v>8</v>
      </c>
      <c r="D6" s="5" t="inlineStr">
        <is>
          <t>(after advisors, legal, escrow)</t>
        </is>
      </c>
    </row>
    <row r="8">
      <c r="A8" s="2" t="inlineStr">
        <is>
          <t>FUNDING ROUNDS - 2025/2026 MARKET</t>
        </is>
      </c>
    </row>
    <row r="9">
      <c r="B9" s="6" t="inlineStr">
        <is>
          <t>Round</t>
        </is>
      </c>
      <c r="C9" s="6" t="inlineStr">
        <is>
          <t>Timing</t>
        </is>
      </c>
      <c r="D9" s="6" t="inlineStr">
        <is>
          <t>Pre-Money</t>
        </is>
      </c>
      <c r="E9" s="6" t="inlineStr">
        <is>
          <t>Raise</t>
        </is>
      </c>
      <c r="F9" s="6" t="inlineStr">
        <is>
          <t>Post-Money</t>
        </is>
      </c>
      <c r="G9" s="6" t="inlineStr">
        <is>
          <t>Dilution</t>
        </is>
      </c>
    </row>
    <row r="10">
      <c r="B10" t="inlineStr">
        <is>
          <t>ESOP Pool (pre-seed)</t>
        </is>
      </c>
      <c r="C10" t="inlineStr">
        <is>
          <t>Day 1</t>
        </is>
      </c>
      <c r="D10" t="inlineStr">
        <is>
          <t>-</t>
        </is>
      </c>
      <c r="E10" s="7" t="n">
        <v>0.12</v>
      </c>
      <c r="F10" t="inlineStr">
        <is>
          <t>-</t>
        </is>
      </c>
      <c r="G10" s="14">
        <f>E10</f>
        <v/>
      </c>
    </row>
    <row r="11">
      <c r="B11" t="inlineStr">
        <is>
          <t>Seed Round</t>
        </is>
      </c>
      <c r="C11" t="inlineStr">
        <is>
          <t>Month 2-3</t>
        </is>
      </c>
      <c r="D11" s="8" t="n">
        <v>7</v>
      </c>
      <c r="E11" s="4" t="n">
        <v>2.5</v>
      </c>
      <c r="F11" s="10">
        <f>D11+E11</f>
        <v/>
      </c>
      <c r="G11" s="14">
        <f>E11/F11</f>
        <v/>
      </c>
    </row>
    <row r="12">
      <c r="B12" t="inlineStr">
        <is>
          <t>Series A</t>
        </is>
      </c>
      <c r="C12" t="inlineStr">
        <is>
          <t>Month 14-16</t>
        </is>
      </c>
      <c r="D12" s="8" t="n">
        <v>22</v>
      </c>
      <c r="E12" s="4" t="n">
        <v>8</v>
      </c>
      <c r="F12" s="10">
        <f>D12+E12</f>
        <v/>
      </c>
      <c r="G12" s="14">
        <f>E12/F12</f>
        <v/>
      </c>
    </row>
    <row r="13">
      <c r="B13" s="5" t="inlineStr">
        <is>
          <t>Note: Lower seed valuation due to raising without customer validation</t>
        </is>
      </c>
    </row>
    <row r="15">
      <c r="A15" s="2" t="inlineStr">
        <is>
          <t>OWNERSHIP WATERFALL</t>
        </is>
      </c>
    </row>
    <row r="16">
      <c r="B16" s="6" t="inlineStr">
        <is>
          <t>Event</t>
        </is>
      </c>
      <c r="C16" s="6" t="inlineStr">
        <is>
          <t>Before</t>
        </is>
      </c>
      <c r="D16" s="6" t="inlineStr">
        <is>
          <t>Dilution</t>
        </is>
      </c>
      <c r="E16" s="6" t="inlineStr">
        <is>
          <t>After</t>
        </is>
      </c>
    </row>
    <row r="17">
      <c r="B17" t="inlineStr">
        <is>
          <t>Starting</t>
        </is>
      </c>
      <c r="C17" s="14">
        <f>C4</f>
        <v/>
      </c>
      <c r="D17" s="14" t="n">
        <v>0</v>
      </c>
      <c r="E17" s="14">
        <f>C17</f>
        <v/>
      </c>
    </row>
    <row r="18">
      <c r="B18" t="inlineStr">
        <is>
          <t>After ESOP</t>
        </is>
      </c>
      <c r="C18" s="14">
        <f>E17</f>
        <v/>
      </c>
      <c r="D18" s="14">
        <f>G10</f>
        <v/>
      </c>
      <c r="E18" s="14">
        <f>C18*(1-D18)</f>
        <v/>
      </c>
    </row>
    <row r="19">
      <c r="B19" t="inlineStr">
        <is>
          <t>After Seed</t>
        </is>
      </c>
      <c r="C19" s="14">
        <f>E18</f>
        <v/>
      </c>
      <c r="D19" s="14">
        <f>G11</f>
        <v/>
      </c>
      <c r="E19" s="14">
        <f>C19*(1-D19)</f>
        <v/>
      </c>
    </row>
    <row r="20">
      <c r="B20" t="inlineStr">
        <is>
          <t>After Series A</t>
        </is>
      </c>
      <c r="C20" s="14">
        <f>E19</f>
        <v/>
      </c>
      <c r="D20" s="14">
        <f>G12</f>
        <v/>
      </c>
      <c r="E20" s="14">
        <f>C20*(1-D20)</f>
        <v/>
      </c>
    </row>
    <row r="22">
      <c r="A22" s="2" t="inlineStr">
        <is>
          <t>3-YEAR EXIT SCENARIOS</t>
        </is>
      </c>
    </row>
    <row r="23">
      <c r="B23" s="6" t="inlineStr">
        <is>
          <t>Scenario</t>
        </is>
      </c>
      <c r="C23" s="6" t="inlineStr">
        <is>
          <t>Probability</t>
        </is>
      </c>
      <c r="D23" s="6" t="inlineStr">
        <is>
          <t>Product EV</t>
        </is>
      </c>
      <c r="E23" s="6" t="inlineStr">
        <is>
          <t>Founder %</t>
        </is>
      </c>
      <c r="F23" s="6" t="inlineStr">
        <is>
          <t>From Product</t>
        </is>
      </c>
      <c r="G23" s="6" t="inlineStr">
        <is>
          <t>+ Services = Total</t>
        </is>
      </c>
    </row>
    <row r="24">
      <c r="B24" t="inlineStr">
        <is>
          <t>Helm hits $10M+ ARR</t>
        </is>
      </c>
      <c r="C24" s="7" t="n">
        <v>0.35</v>
      </c>
      <c r="D24" s="8" t="n">
        <v>100</v>
      </c>
      <c r="E24" s="14">
        <f>E20</f>
        <v/>
      </c>
      <c r="F24" s="10">
        <f>D24*E24</f>
        <v/>
      </c>
      <c r="G24" s="10">
        <f>F24+C6</f>
        <v/>
      </c>
    </row>
    <row r="25">
      <c r="B25" t="inlineStr">
        <is>
          <t>Helm at $3-5M ARR</t>
        </is>
      </c>
      <c r="C25" s="7" t="n">
        <v>0.3</v>
      </c>
      <c r="D25" s="8" t="n">
        <v>35</v>
      </c>
      <c r="E25" s="14">
        <f>E20</f>
        <v/>
      </c>
      <c r="F25" s="10">
        <f>D25*E25</f>
        <v/>
      </c>
      <c r="G25" s="10">
        <f>F25+C6</f>
        <v/>
      </c>
    </row>
    <row r="26">
      <c r="B26" t="inlineStr">
        <is>
          <t>Helm struggles (&lt;$1M ARR)</t>
        </is>
      </c>
      <c r="C26" s="7" t="n">
        <v>0.25</v>
      </c>
      <c r="D26" s="8" t="n">
        <v>8</v>
      </c>
      <c r="E26" s="14">
        <f>E20</f>
        <v/>
      </c>
      <c r="F26" s="10">
        <f>D26*E26</f>
        <v/>
      </c>
      <c r="G26" s="10">
        <f>F26+C6</f>
        <v/>
      </c>
    </row>
    <row r="27">
      <c r="B27" t="inlineStr">
        <is>
          <t>Helm shuts down</t>
        </is>
      </c>
      <c r="C27" s="7" t="n">
        <v>0.1</v>
      </c>
      <c r="D27" s="8" t="n">
        <v>0</v>
      </c>
      <c r="E27" s="14">
        <f>E20</f>
        <v/>
      </c>
      <c r="F27" s="10">
        <f>D27*E27</f>
        <v/>
      </c>
      <c r="G27" s="10">
        <f>F27+C6</f>
        <v/>
      </c>
    </row>
    <row r="29">
      <c r="A29" s="2" t="inlineStr">
        <is>
          <t>SUMMARY</t>
        </is>
      </c>
    </row>
    <row r="30">
      <c r="B30" t="inlineStr">
        <is>
          <t>Expected Enterprise Value</t>
        </is>
      </c>
      <c r="C30" s="11">
        <f>SUMPRODUCT(C24:C27,D24:D27)</f>
        <v/>
      </c>
    </row>
    <row r="31">
      <c r="B31" t="inlineStr">
        <is>
          <t>Expected Founder Value (Product)</t>
        </is>
      </c>
      <c r="C31" s="10">
        <f>SUMPRODUCT(C24:C27,F24:F27)</f>
        <v/>
      </c>
    </row>
    <row r="32">
      <c r="B32" t="inlineStr">
        <is>
          <t>Expected Founder Value (Total)</t>
        </is>
      </c>
      <c r="C32" s="12">
        <f>SUMPRODUCT(C24:C27,G24:G27)</f>
        <v/>
      </c>
    </row>
    <row r="33">
      <c r="B33" t="inlineStr">
        <is>
          <t>Final Founder Ownership</t>
        </is>
      </c>
      <c r="C33" s="15">
        <f>E20</f>
        <v/>
      </c>
    </row>
    <row r="34">
      <c r="B34" t="inlineStr">
        <is>
          <t>Total Dilution</t>
        </is>
      </c>
      <c r="C34" s="14">
        <f>1-C33</f>
        <v/>
      </c>
    </row>
    <row r="35">
      <c r="B35" t="inlineStr">
        <is>
          <t>Total Capital Raised</t>
        </is>
      </c>
      <c r="C35" s="10">
        <f>E11+E12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PATH 3: GROWTH BOTH - Dual Business Strategy</t>
        </is>
      </c>
    </row>
    <row r="3">
      <c r="A3" s="2" t="inlineStr">
        <is>
          <t>STARTING POSITION</t>
        </is>
      </c>
    </row>
    <row r="4">
      <c r="B4" t="inlineStr">
        <is>
          <t>Founder ownership</t>
        </is>
      </c>
      <c r="C4" s="3" t="n">
        <v>1</v>
      </c>
    </row>
    <row r="5">
      <c r="B5" t="inlineStr">
        <is>
          <t>Services Y1 revenue ($M)</t>
        </is>
      </c>
      <c r="C5" s="4" t="n">
        <v>4.5</v>
      </c>
    </row>
    <row r="6">
      <c r="B6" t="inlineStr">
        <is>
          <t>Services Y3 value (3x rev @ $8M)</t>
        </is>
      </c>
      <c r="C6" s="4" t="n">
        <v>24</v>
      </c>
    </row>
    <row r="7">
      <c r="B7" t="inlineStr">
        <is>
          <t>Services leadership hire ($M/yr)</t>
        </is>
      </c>
      <c r="C7" s="4" t="n">
        <v>0.25</v>
      </c>
    </row>
    <row r="9">
      <c r="A9" s="2" t="inlineStr">
        <is>
          <t>FUNDING ROUNDS - PRODUCT ENTITY</t>
        </is>
      </c>
    </row>
    <row r="10">
      <c r="B10" s="6" t="inlineStr">
        <is>
          <t>Round</t>
        </is>
      </c>
      <c r="C10" s="6" t="inlineStr">
        <is>
          <t>Timing</t>
        </is>
      </c>
      <c r="D10" s="6" t="inlineStr">
        <is>
          <t>Pre-Money</t>
        </is>
      </c>
      <c r="E10" s="6" t="inlineStr">
        <is>
          <t>Raise</t>
        </is>
      </c>
      <c r="F10" s="6" t="inlineStr">
        <is>
          <t>Post-Money</t>
        </is>
      </c>
      <c r="G10" s="6" t="inlineStr">
        <is>
          <t>Dilution</t>
        </is>
      </c>
    </row>
    <row r="11">
      <c r="B11" t="inlineStr">
        <is>
          <t>ESOP Pool</t>
        </is>
      </c>
      <c r="C11" t="inlineStr">
        <is>
          <t>At Seed</t>
        </is>
      </c>
      <c r="D11" t="inlineStr">
        <is>
          <t>-</t>
        </is>
      </c>
      <c r="E11" s="7" t="n">
        <v>0.12</v>
      </c>
      <c r="F11" t="inlineStr">
        <is>
          <t>-</t>
        </is>
      </c>
      <c r="G11" s="14">
        <f>E11</f>
        <v/>
      </c>
    </row>
    <row r="12">
      <c r="B12" t="inlineStr">
        <is>
          <t>Seed Round</t>
        </is>
      </c>
      <c r="C12" t="inlineStr">
        <is>
          <t>Month 4-6</t>
        </is>
      </c>
      <c r="D12" s="8" t="n">
        <v>8</v>
      </c>
      <c r="E12" s="4" t="n">
        <v>3</v>
      </c>
      <c r="F12" s="10">
        <f>D12+E12</f>
        <v/>
      </c>
      <c r="G12" s="14">
        <f>E12/F12</f>
        <v/>
      </c>
    </row>
    <row r="13">
      <c r="B13" t="inlineStr">
        <is>
          <t>Series A</t>
        </is>
      </c>
      <c r="C13" t="inlineStr">
        <is>
          <t>Month 18</t>
        </is>
      </c>
      <c r="D13" s="8" t="n">
        <v>25</v>
      </c>
      <c r="E13" s="4" t="n">
        <v>8</v>
      </c>
      <c r="F13" s="10">
        <f>D13+E13</f>
        <v/>
      </c>
      <c r="G13" s="14">
        <f>E13/F13</f>
        <v/>
      </c>
    </row>
    <row r="14">
      <c r="B14" s="5" t="inlineStr">
        <is>
          <t>Note: VCs typically discount services-heavy companies by 20-30%</t>
        </is>
      </c>
    </row>
    <row r="16">
      <c r="A16" s="2" t="inlineStr">
        <is>
          <t>OWNERSHIP WATERFALL (PRODUCT)</t>
        </is>
      </c>
    </row>
    <row r="17">
      <c r="B17" s="6" t="inlineStr">
        <is>
          <t>Event</t>
        </is>
      </c>
      <c r="C17" s="6" t="inlineStr">
        <is>
          <t>Before</t>
        </is>
      </c>
      <c r="D17" s="6" t="inlineStr">
        <is>
          <t>Dilution</t>
        </is>
      </c>
      <c r="E17" s="6" t="inlineStr">
        <is>
          <t>After</t>
        </is>
      </c>
    </row>
    <row r="18">
      <c r="B18" t="inlineStr">
        <is>
          <t>Starting</t>
        </is>
      </c>
      <c r="C18" s="14">
        <f>C4</f>
        <v/>
      </c>
      <c r="D18" s="14" t="n">
        <v>0</v>
      </c>
      <c r="E18" s="14">
        <f>C18</f>
        <v/>
      </c>
    </row>
    <row r="19">
      <c r="B19" t="inlineStr">
        <is>
          <t>After ESOP</t>
        </is>
      </c>
      <c r="C19" s="14">
        <f>E18</f>
        <v/>
      </c>
      <c r="D19" s="14">
        <f>G11</f>
        <v/>
      </c>
      <c r="E19" s="14">
        <f>C19*(1-D19)</f>
        <v/>
      </c>
    </row>
    <row r="20">
      <c r="B20" t="inlineStr">
        <is>
          <t>After Seed</t>
        </is>
      </c>
      <c r="C20" s="14">
        <f>E19</f>
        <v/>
      </c>
      <c r="D20" s="14">
        <f>G12</f>
        <v/>
      </c>
      <c r="E20" s="14">
        <f>C20*(1-D20)</f>
        <v/>
      </c>
    </row>
    <row r="21">
      <c r="B21" t="inlineStr">
        <is>
          <t>After Series A</t>
        </is>
      </c>
      <c r="C21" s="14">
        <f>E20</f>
        <v/>
      </c>
      <c r="D21" s="14">
        <f>G13</f>
        <v/>
      </c>
      <c r="E21" s="14">
        <f>C21*(1-D21)</f>
        <v/>
      </c>
    </row>
    <row r="23">
      <c r="A23" s="2" t="inlineStr">
        <is>
          <t>3-YEAR EXIT SCENARIOS</t>
        </is>
      </c>
    </row>
    <row r="24">
      <c r="B24" s="6" t="inlineStr">
        <is>
          <t>Scenario</t>
        </is>
      </c>
      <c r="C24" s="6" t="inlineStr">
        <is>
          <t>Prob</t>
        </is>
      </c>
      <c r="D24" s="6" t="inlineStr">
        <is>
          <t>Product EV</t>
        </is>
      </c>
      <c r="E24" s="6" t="inlineStr">
        <is>
          <t>Services EV</t>
        </is>
      </c>
      <c r="F24" s="6" t="inlineStr">
        <is>
          <t>Founder Prod</t>
        </is>
      </c>
      <c r="G24" s="6" t="inlineStr">
        <is>
          <t>Total Founder</t>
        </is>
      </c>
    </row>
    <row r="25">
      <c r="B25" t="inlineStr">
        <is>
          <t>Both succeed</t>
        </is>
      </c>
      <c r="C25" s="7" t="n">
        <v>0.3</v>
      </c>
      <c r="D25" s="8" t="n">
        <v>70</v>
      </c>
      <c r="E25" s="16">
        <f>C6</f>
        <v/>
      </c>
      <c r="F25" s="10">
        <f>D25*E21</f>
        <v/>
      </c>
      <c r="G25" s="10">
        <f>F25+E25</f>
        <v/>
      </c>
    </row>
    <row r="26">
      <c r="B26" t="inlineStr">
        <is>
          <t>Product moderate</t>
        </is>
      </c>
      <c r="C26" s="7" t="n">
        <v>0.35</v>
      </c>
      <c r="D26" s="8" t="n">
        <v>25</v>
      </c>
      <c r="E26" s="16">
        <f>C6</f>
        <v/>
      </c>
      <c r="F26" s="10">
        <f>D26*E21</f>
        <v/>
      </c>
      <c r="G26" s="10">
        <f>F26+E26</f>
        <v/>
      </c>
    </row>
    <row r="27">
      <c r="B27" t="inlineStr">
        <is>
          <t>Focus dilution hurts both</t>
        </is>
      </c>
      <c r="C27" s="7" t="n">
        <v>0.25</v>
      </c>
      <c r="D27" s="8" t="n">
        <v>10</v>
      </c>
      <c r="E27" s="8" t="n">
        <v>15</v>
      </c>
      <c r="F27" s="10">
        <f>D27*E21</f>
        <v/>
      </c>
      <c r="G27" s="10">
        <f>F27+E27</f>
        <v/>
      </c>
    </row>
    <row r="28">
      <c r="B28" t="inlineStr">
        <is>
          <t>Product fails, services OK</t>
        </is>
      </c>
      <c r="C28" s="7" t="n">
        <v>0.1</v>
      </c>
      <c r="D28" s="8" t="n">
        <v>0</v>
      </c>
      <c r="E28" s="8" t="n">
        <v>18</v>
      </c>
      <c r="F28" s="10">
        <f>D28*E21</f>
        <v/>
      </c>
      <c r="G28" s="10">
        <f>F28+E28</f>
        <v/>
      </c>
    </row>
    <row r="30">
      <c r="A30" s="2" t="inlineStr">
        <is>
          <t>SUMMARY</t>
        </is>
      </c>
    </row>
    <row r="31">
      <c r="B31" t="inlineStr">
        <is>
          <t>Expected Enterprise Value (Combined)</t>
        </is>
      </c>
      <c r="C31" s="11">
        <f>SUMPRODUCT(C25:C28,D25:D28)+SUMPRODUCT(C25:C28,E25:E28)</f>
        <v/>
      </c>
    </row>
    <row r="32">
      <c r="B32" t="inlineStr">
        <is>
          <t>Expected Founder Value</t>
        </is>
      </c>
      <c r="C32" s="12">
        <f>SUMPRODUCT(C25:C28,G25:G28)</f>
        <v/>
      </c>
    </row>
    <row r="33">
      <c r="B33" t="inlineStr">
        <is>
          <t>Final Founder % (Product)</t>
        </is>
      </c>
      <c r="C33" s="15">
        <f>E21</f>
        <v/>
      </c>
    </row>
    <row r="34">
      <c r="B34" t="inlineStr">
        <is>
          <t>Total Dilution (Product)</t>
        </is>
      </c>
      <c r="C34" s="14">
        <f>1-C33</f>
        <v/>
      </c>
    </row>
    <row r="35">
      <c r="B35" t="inlineStr">
        <is>
          <t>Total Capital Raised</t>
        </is>
      </c>
      <c r="C35" s="10">
        <f>E12+E13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PATH 4: STRATEGIC LEVERAGE (RECOMMENDED)</t>
        </is>
      </c>
    </row>
    <row r="3">
      <c r="A3" s="2" t="inlineStr">
        <is>
          <t>STARTING POSITION</t>
        </is>
      </c>
    </row>
    <row r="4">
      <c r="B4" t="inlineStr">
        <is>
          <t>Founder ownership</t>
        </is>
      </c>
      <c r="C4" s="3" t="n">
        <v>1</v>
      </c>
    </row>
    <row r="5">
      <c r="B5" t="inlineStr">
        <is>
          <t>Services revenue ($M)</t>
        </is>
      </c>
      <c r="C5" s="4" t="n">
        <v>4</v>
      </c>
    </row>
    <row r="6">
      <c r="B6" t="inlineStr">
        <is>
          <t>Services EBITDA (optimized to 20%)</t>
        </is>
      </c>
      <c r="C6" s="4" t="n">
        <v>0.8</v>
      </c>
    </row>
    <row r="7">
      <c r="B7" t="inlineStr">
        <is>
          <t>Services sale price (Month 12, $M)</t>
        </is>
      </c>
      <c r="C7" s="4" t="n">
        <v>10</v>
      </c>
    </row>
    <row r="8">
      <c r="B8" t="inlineStr">
        <is>
          <t>Founder take from services ($M)</t>
        </is>
      </c>
      <c r="C8" s="4" t="n">
        <v>8</v>
      </c>
    </row>
    <row r="10">
      <c r="A10" s="2" t="inlineStr">
        <is>
          <t>FUNDING ROUNDS - VALIDATED APPROACH</t>
        </is>
      </c>
    </row>
    <row r="11">
      <c r="B11" s="6" t="inlineStr">
        <is>
          <t>Round</t>
        </is>
      </c>
      <c r="C11" s="6" t="inlineStr">
        <is>
          <t>Timing</t>
        </is>
      </c>
      <c r="D11" s="6" t="inlineStr">
        <is>
          <t>Pre-Money</t>
        </is>
      </c>
      <c r="E11" s="6" t="inlineStr">
        <is>
          <t>Raise</t>
        </is>
      </c>
      <c r="F11" s="6" t="inlineStr">
        <is>
          <t>Post-Money</t>
        </is>
      </c>
      <c r="G11" s="6" t="inlineStr">
        <is>
          <t>Dilution</t>
        </is>
      </c>
    </row>
    <row r="12">
      <c r="B12" t="inlineStr">
        <is>
          <t>ESOP Pool</t>
        </is>
      </c>
      <c r="C12" t="inlineStr">
        <is>
          <t>At Seed</t>
        </is>
      </c>
      <c r="D12" t="inlineStr">
        <is>
          <t>-</t>
        </is>
      </c>
      <c r="E12" s="7" t="n">
        <v>0.1</v>
      </c>
      <c r="F12" t="inlineStr">
        <is>
          <t>-</t>
        </is>
      </c>
      <c r="G12" s="14">
        <f>E12</f>
        <v/>
      </c>
    </row>
    <row r="13">
      <c r="B13" t="inlineStr">
        <is>
          <t>Seed (with design partners)</t>
        </is>
      </c>
      <c r="C13" t="inlineStr">
        <is>
          <t>Month 12-14</t>
        </is>
      </c>
      <c r="D13" s="8" t="n">
        <v>12</v>
      </c>
      <c r="E13" s="4" t="n">
        <v>3</v>
      </c>
      <c r="F13" s="10">
        <f>D13+E13</f>
        <v/>
      </c>
      <c r="G13" s="14">
        <f>E13/F13</f>
        <v/>
      </c>
    </row>
    <row r="14">
      <c r="B14" t="inlineStr">
        <is>
          <t>Series A (with ARR traction)</t>
        </is>
      </c>
      <c r="C14" t="inlineStr">
        <is>
          <t>Month 24-30</t>
        </is>
      </c>
      <c r="D14" s="8" t="n">
        <v>35</v>
      </c>
      <c r="E14" s="4" t="n">
        <v>10</v>
      </c>
      <c r="F14" s="10">
        <f>D14+E14</f>
        <v/>
      </c>
      <c r="G14" s="14">
        <f>E14/F14</f>
        <v/>
      </c>
    </row>
    <row r="15">
      <c r="B15" s="17" t="inlineStr">
        <is>
          <t>Key: 70%+ higher seed valuation due to design partner validation</t>
        </is>
      </c>
    </row>
    <row r="17">
      <c r="A17" s="2" t="inlineStr">
        <is>
          <t>OWNERSHIP WATERFALL</t>
        </is>
      </c>
    </row>
    <row r="18">
      <c r="B18" s="6" t="inlineStr">
        <is>
          <t>Event</t>
        </is>
      </c>
      <c r="C18" s="6" t="inlineStr">
        <is>
          <t>Before</t>
        </is>
      </c>
      <c r="D18" s="6" t="inlineStr">
        <is>
          <t>Dilution</t>
        </is>
      </c>
      <c r="E18" s="6" t="inlineStr">
        <is>
          <t>After</t>
        </is>
      </c>
    </row>
    <row r="19">
      <c r="B19" t="inlineStr">
        <is>
          <t>Starting</t>
        </is>
      </c>
      <c r="C19" s="14">
        <f>C4</f>
        <v/>
      </c>
      <c r="D19" s="14" t="n">
        <v>0</v>
      </c>
      <c r="E19" s="14">
        <f>C19</f>
        <v/>
      </c>
    </row>
    <row r="20">
      <c r="B20" t="inlineStr">
        <is>
          <t>After ESOP</t>
        </is>
      </c>
      <c r="C20" s="14">
        <f>E19</f>
        <v/>
      </c>
      <c r="D20" s="14">
        <f>G12</f>
        <v/>
      </c>
      <c r="E20" s="14">
        <f>C20*(1-D20)</f>
        <v/>
      </c>
    </row>
    <row r="21">
      <c r="B21" t="inlineStr">
        <is>
          <t>After Seed</t>
        </is>
      </c>
      <c r="C21" s="14">
        <f>E20</f>
        <v/>
      </c>
      <c r="D21" s="14">
        <f>G13</f>
        <v/>
      </c>
      <c r="E21" s="14">
        <f>C21*(1-D21)</f>
        <v/>
      </c>
    </row>
    <row r="22">
      <c r="B22" t="inlineStr">
        <is>
          <t>After Series A</t>
        </is>
      </c>
      <c r="C22" s="14">
        <f>E21</f>
        <v/>
      </c>
      <c r="D22" s="14">
        <f>G14</f>
        <v/>
      </c>
      <c r="E22" s="14">
        <f>C22*(1-D22)</f>
        <v/>
      </c>
    </row>
    <row r="24">
      <c r="A24" s="2" t="inlineStr">
        <is>
          <t>3-YEAR EXIT SCENARIOS</t>
        </is>
      </c>
    </row>
    <row r="25">
      <c r="B25" s="6" t="inlineStr">
        <is>
          <t>Scenario</t>
        </is>
      </c>
      <c r="C25" s="6" t="inlineStr">
        <is>
          <t>Prob</t>
        </is>
      </c>
      <c r="D25" s="6" t="inlineStr">
        <is>
          <t>Product EV</t>
        </is>
      </c>
      <c r="E25" s="6" t="inlineStr">
        <is>
          <t>Founder Prod</t>
        </is>
      </c>
      <c r="F25" s="6" t="inlineStr">
        <is>
          <t>Services $</t>
        </is>
      </c>
      <c r="G25" s="6" t="inlineStr">
        <is>
          <t>Total Founder</t>
        </is>
      </c>
    </row>
    <row r="26">
      <c r="B26" t="inlineStr">
        <is>
          <t>Helm hits $10M+ ARR</t>
        </is>
      </c>
      <c r="C26" s="7" t="n">
        <v>0.5</v>
      </c>
      <c r="D26" s="8" t="n">
        <v>100</v>
      </c>
      <c r="E26" s="10">
        <f>D26*E22</f>
        <v/>
      </c>
      <c r="F26" s="10">
        <f>C8</f>
        <v/>
      </c>
      <c r="G26" s="10">
        <f>E26+F26</f>
        <v/>
      </c>
    </row>
    <row r="27">
      <c r="B27" t="inlineStr">
        <is>
          <t>Helm at $3-5M ARR</t>
        </is>
      </c>
      <c r="C27" s="7" t="n">
        <v>0.3</v>
      </c>
      <c r="D27" s="8" t="n">
        <v>40</v>
      </c>
      <c r="E27" s="10">
        <f>D27*E22</f>
        <v/>
      </c>
      <c r="F27" s="10">
        <f>C8</f>
        <v/>
      </c>
      <c r="G27" s="10">
        <f>E27+F27</f>
        <v/>
      </c>
    </row>
    <row r="28">
      <c r="B28" t="inlineStr">
        <is>
          <t>Helm pivots/struggles</t>
        </is>
      </c>
      <c r="C28" s="7" t="n">
        <v>0.15</v>
      </c>
      <c r="D28" s="8" t="n">
        <v>10</v>
      </c>
      <c r="E28" s="10">
        <f>D28*E22</f>
        <v/>
      </c>
      <c r="F28" s="10">
        <f>C8</f>
        <v/>
      </c>
      <c r="G28" s="10">
        <f>E28+F28</f>
        <v/>
      </c>
    </row>
    <row r="29">
      <c r="B29" t="inlineStr">
        <is>
          <t>Wind down (services $ preserved)</t>
        </is>
      </c>
      <c r="C29" s="7" t="n">
        <v>0.05</v>
      </c>
      <c r="D29" s="8" t="n">
        <v>0</v>
      </c>
      <c r="E29" s="10">
        <f>D29*E22</f>
        <v/>
      </c>
      <c r="F29" s="10">
        <f>C8</f>
        <v/>
      </c>
      <c r="G29" s="10">
        <f>E29+F29</f>
        <v/>
      </c>
    </row>
    <row r="31">
      <c r="A31" s="2" t="inlineStr">
        <is>
          <t>SUMMARY</t>
        </is>
      </c>
    </row>
    <row r="32">
      <c r="B32" t="inlineStr">
        <is>
          <t>Expected Enterprise Value</t>
        </is>
      </c>
      <c r="C32" s="11">
        <f>SUMPRODUCT(C26:C29,D26:D29)</f>
        <v/>
      </c>
    </row>
    <row r="33">
      <c r="B33" t="inlineStr">
        <is>
          <t>Expected Founder Value</t>
        </is>
      </c>
      <c r="C33" s="12">
        <f>SUMPRODUCT(C26:C29,G26:G29)</f>
        <v/>
      </c>
    </row>
    <row r="34">
      <c r="B34" t="inlineStr">
        <is>
          <t>Final Founder % (Product)</t>
        </is>
      </c>
      <c r="C34" s="15">
        <f>E22</f>
        <v/>
      </c>
    </row>
    <row r="35">
      <c r="B35" t="inlineStr">
        <is>
          <t>Total Dilution (Product)</t>
        </is>
      </c>
      <c r="C35" s="14">
        <f>1-C34</f>
        <v/>
      </c>
    </row>
    <row r="36">
      <c r="B36" t="inlineStr">
        <is>
          <t>Total Capital Raised</t>
        </is>
      </c>
      <c r="C36" s="10">
        <f>E13+E14</f>
        <v/>
      </c>
    </row>
    <row r="37">
      <c r="B37" t="inlineStr">
        <is>
          <t>Guaranteed Floor (Services)</t>
        </is>
      </c>
      <c r="C37" s="18">
        <f>C8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DILUTION-ADJUSTED COMPARISON</t>
        </is>
      </c>
    </row>
    <row r="3">
      <c r="A3" s="2" t="inlineStr">
        <is>
          <t>FOUNDER VALUE ANALYSIS</t>
        </is>
      </c>
    </row>
    <row r="4">
      <c r="B4" s="19" t="inlineStr">
        <is>
          <t>Metric</t>
        </is>
      </c>
      <c r="C4" s="19" t="inlineStr">
        <is>
          <t>Lean</t>
        </is>
      </c>
      <c r="D4" s="19" t="inlineStr">
        <is>
          <t>Liquidate</t>
        </is>
      </c>
      <c r="E4" s="19" t="inlineStr">
        <is>
          <t>Growth Both</t>
        </is>
      </c>
      <c r="F4" s="19" t="inlineStr">
        <is>
          <t>Strategic</t>
        </is>
      </c>
    </row>
    <row r="5">
      <c r="B5" t="inlineStr">
        <is>
          <t>Expected Founder Value</t>
        </is>
      </c>
      <c r="C5" s="20">
        <f>Path1_Lean!C21</f>
        <v/>
      </c>
      <c r="D5" s="20">
        <f>Path2_Liquidate!C32</f>
        <v/>
      </c>
      <c r="E5" s="20">
        <f>Path3_GrowthBoth!C32</f>
        <v/>
      </c>
      <c r="F5" s="20">
        <f>Path4_Strategic!C33</f>
        <v/>
      </c>
    </row>
    <row r="6">
      <c r="B6" t="inlineStr">
        <is>
          <t>Final Founder %</t>
        </is>
      </c>
      <c r="C6" s="14">
        <f>Path1_Lean!C22</f>
        <v/>
      </c>
      <c r="D6" s="14">
        <f>Path2_Liquidate!C33</f>
        <v/>
      </c>
      <c r="E6" s="14">
        <f>Path3_GrowthBoth!C33</f>
        <v/>
      </c>
      <c r="F6" s="14">
        <f>Path4_Strategic!C34</f>
        <v/>
      </c>
    </row>
    <row r="7">
      <c r="B7" t="inlineStr">
        <is>
          <t>Total Dilution</t>
        </is>
      </c>
      <c r="C7" s="14">
        <f>1-C6</f>
        <v/>
      </c>
      <c r="D7" s="14">
        <f>1-D6</f>
        <v/>
      </c>
      <c r="E7" s="14">
        <f>1-E6</f>
        <v/>
      </c>
      <c r="F7" s="14">
        <f>1-F6</f>
        <v/>
      </c>
    </row>
    <row r="8">
      <c r="B8" t="inlineStr">
        <is>
          <t>Capital Raised</t>
        </is>
      </c>
      <c r="C8" s="10" t="n">
        <v>0</v>
      </c>
      <c r="D8" s="10">
        <f>Path2_Liquidate!C35</f>
        <v/>
      </c>
      <c r="E8" s="10">
        <f>Path3_GrowthBoth!C35</f>
        <v/>
      </c>
      <c r="F8" s="10">
        <f>Path4_Strategic!C36</f>
        <v/>
      </c>
    </row>
    <row r="10">
      <c r="A10" s="2" t="inlineStr">
        <is>
          <t>DOWNSIDE PROTECTION</t>
        </is>
      </c>
    </row>
    <row r="11">
      <c r="B11" t="inlineStr">
        <is>
          <t>Worst Case (Founder $)</t>
        </is>
      </c>
      <c r="C11" s="10">
        <f>Path1_Lean!F17</f>
        <v/>
      </c>
      <c r="D11" s="10">
        <f>Path2_Liquidate!G27</f>
        <v/>
      </c>
      <c r="E11" s="10">
        <f>Path3_GrowthBoth!G28</f>
        <v/>
      </c>
      <c r="F11" s="10">
        <f>Path4_Strategic!G29</f>
        <v/>
      </c>
    </row>
    <row r="12">
      <c r="B12" t="inlineStr">
        <is>
          <t>Best Case (Founder $)</t>
        </is>
      </c>
      <c r="C12" s="10">
        <f>Path1_Lean!F15</f>
        <v/>
      </c>
      <c r="D12" s="10">
        <f>Path2_Liquidate!G24</f>
        <v/>
      </c>
      <c r="E12" s="10">
        <f>Path3_GrowthBoth!G25</f>
        <v/>
      </c>
      <c r="F12" s="10">
        <f>Path4_Strategic!G26</f>
        <v/>
      </c>
    </row>
    <row r="13">
      <c r="B13" t="inlineStr">
        <is>
          <t>Upside/Downside Ratio</t>
        </is>
      </c>
      <c r="C13" s="21">
        <f>C12/C11</f>
        <v/>
      </c>
      <c r="D13" s="21">
        <f>D12/D11</f>
        <v/>
      </c>
      <c r="E13" s="21">
        <f>E12/E11</f>
        <v/>
      </c>
      <c r="F13" s="21">
        <f>F12/F11</f>
        <v/>
      </c>
    </row>
    <row r="15">
      <c r="A15" s="2" t="inlineStr">
        <is>
          <t>RANKING</t>
        </is>
      </c>
    </row>
    <row r="16">
      <c r="B16" t="inlineStr">
        <is>
          <t>Rank by Founder Value</t>
        </is>
      </c>
      <c r="C16">
        <f>RANK(C5,$C$5:$F$5,0)</f>
        <v/>
      </c>
      <c r="D16">
        <f>RANK(D5,$C$5:$F$5,0)</f>
        <v/>
      </c>
      <c r="E16">
        <f>RANK(E5,$C$5:$F$5,0)</f>
        <v/>
      </c>
      <c r="F16">
        <f>RANK(F5,$C$5:$F$5,0)</f>
        <v/>
      </c>
    </row>
    <row r="17">
      <c r="B17" t="inlineStr">
        <is>
          <t>Rank by Downside Protection</t>
        </is>
      </c>
      <c r="C17">
        <f>RANK(C11,$C$11:$F$11,0)</f>
        <v/>
      </c>
      <c r="D17">
        <f>RANK(D11,$C$11:$F$11,0)</f>
        <v/>
      </c>
      <c r="E17">
        <f>RANK(E11,$C$11:$F$11,0)</f>
        <v/>
      </c>
      <c r="F17">
        <f>RANK(F11,$C$11:$F$11,0)</f>
        <v/>
      </c>
    </row>
    <row r="19">
      <c r="B19" t="inlineStr">
        <is>
          <t>WINNER</t>
        </is>
      </c>
      <c r="F19" s="22" t="inlineStr">
        <is>
          <t>STRATEGIC</t>
        </is>
      </c>
    </row>
    <row r="21">
      <c r="A21" s="2" t="inlineStr">
        <is>
          <t>KEY INSIGHTS</t>
        </is>
      </c>
    </row>
    <row r="22">
      <c r="B22" t="inlineStr">
        <is>
          <t>1. Strategic Leverage has BOTH highest EV and best downside protection</t>
        </is>
      </c>
    </row>
    <row r="23">
      <c r="B23" t="inlineStr">
        <is>
          <t>2. Validation-first approach yields 70%+ better seed valuations</t>
        </is>
      </c>
    </row>
    <row r="24">
      <c r="B24" t="inlineStr">
        <is>
          <t>3. $8M services floor means founder never walks away empty</t>
        </is>
      </c>
    </row>
    <row r="25">
      <c r="B25" t="inlineStr">
        <is>
          <t>4. Same $13M raised, but at better terms = less dilution</t>
        </is>
      </c>
    </row>
    <row r="27">
      <c r="A27" s="2" t="inlineStr">
        <is>
          <t>FUNDING ASSUMPTIONS (2025/2026 Market)</t>
        </is>
      </c>
    </row>
    <row r="28">
      <c r="B28" t="inlineStr">
        <is>
          <t>Seed without traction: $6-8M pre-money</t>
        </is>
      </c>
    </row>
    <row r="29">
      <c r="B29" t="inlineStr">
        <is>
          <t>Seed with design partners: $10-14M pre-money</t>
        </is>
      </c>
    </row>
    <row r="30">
      <c r="B30" t="inlineStr">
        <is>
          <t>Series A (B2B SaaS): $20-40M pre-money</t>
        </is>
      </c>
    </row>
    <row r="31">
      <c r="B31" t="inlineStr">
        <is>
          <t>Standard ESOP: 10-15% pre-financing</t>
        </is>
      </c>
    </row>
    <row r="32">
      <c r="B32" t="inlineStr">
        <is>
          <t>Services multiple: 2.5-3.5x revenue</t>
        </is>
      </c>
    </row>
  </sheetData>
  <mergeCells count="2">
    <mergeCell ref="A1:F1"/>
    <mergeCell ref="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2026-01-10T18:25:25Z</dcterms:created>
  <dcterms:modified xmlns:dcterms="http://purl.org/dc/terms/" xmlns:xsi="http://www.w3.org/2001/XMLSchema-instance" xsi:type="dcterms:W3CDTF">2026-01-10T18:25:25Z</dcterms:modified>
</cp:coreProperties>
</file>